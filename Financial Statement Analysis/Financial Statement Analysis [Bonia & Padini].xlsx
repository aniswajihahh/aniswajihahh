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kmedumy-my.sharepoint.com/personal/a194942_siswa_ukm_edu_my/Documents/Documents/3 year/5. Asas akaun &amp; kewangan/"/>
    </mc:Choice>
  </mc:AlternateContent>
  <xr:revisionPtr revIDLastSave="3320" documentId="8_{E2490040-84A4-46D5-86D0-44BF52ECA72E}" xr6:coauthVersionLast="47" xr6:coauthVersionMax="47" xr10:uidLastSave="{8ABA6644-F624-45B6-A95F-229CE142424D}"/>
  <bookViews>
    <workbookView xWindow="-108" yWindow="-108" windowWidth="23256" windowHeight="12456" firstSheet="5" activeTab="8" xr2:uid="{D59764B8-6FDC-4E35-A082-A237B5524236}"/>
  </bookViews>
  <sheets>
    <sheet name="Group Members" sheetId="13" r:id="rId1"/>
    <sheet name="Q1. BONIA Net Profit" sheetId="8" r:id="rId2"/>
    <sheet name="Q1. PADINI Net Profit" sheetId="9" r:id="rId3"/>
    <sheet name="Q2. BONIA Assets" sheetId="2" r:id="rId4"/>
    <sheet name="Q2. PADINI Assets" sheetId="5" r:id="rId5"/>
    <sheet name="Q3. BONIA Liabilities" sheetId="1" r:id="rId6"/>
    <sheet name="Q3. PADINI Liabilities" sheetId="6" r:id="rId7"/>
    <sheet name="Q4. Financing Type" sheetId="11" r:id="rId8"/>
    <sheet name="Q5. Compare &amp; Contrast" sheetId="10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9" l="1"/>
  <c r="C37" i="9"/>
  <c r="C39" i="9"/>
  <c r="C41" i="9"/>
  <c r="B33" i="9"/>
  <c r="B37" i="9"/>
  <c r="B39" i="9"/>
  <c r="B41" i="9"/>
  <c r="C20" i="9"/>
  <c r="C24" i="9"/>
  <c r="C26" i="9"/>
  <c r="C28" i="9"/>
  <c r="B20" i="9"/>
  <c r="B24" i="9"/>
  <c r="B26" i="9"/>
  <c r="B28" i="9"/>
  <c r="D14" i="9"/>
  <c r="C14" i="9"/>
  <c r="B14" i="9"/>
  <c r="D12" i="9"/>
  <c r="C12" i="9"/>
  <c r="B12" i="9"/>
  <c r="D10" i="9"/>
  <c r="C10" i="9"/>
  <c r="B10" i="9"/>
  <c r="D6" i="9"/>
  <c r="C6" i="9"/>
  <c r="B6" i="9"/>
  <c r="C19" i="8"/>
  <c r="C24" i="8"/>
  <c r="C26" i="8"/>
  <c r="C28" i="8"/>
  <c r="B19" i="8"/>
  <c r="B24" i="8"/>
  <c r="B26" i="8"/>
  <c r="B28" i="8"/>
  <c r="B14" i="8"/>
  <c r="C14" i="8"/>
  <c r="B12" i="8"/>
  <c r="C12" i="8"/>
  <c r="B10" i="8"/>
  <c r="B5" i="8"/>
  <c r="C34" i="8"/>
  <c r="C39" i="8"/>
  <c r="C41" i="8"/>
  <c r="C43" i="8"/>
  <c r="B34" i="8"/>
  <c r="B39" i="8"/>
  <c r="B41" i="8"/>
  <c r="B43" i="8"/>
  <c r="D14" i="8"/>
  <c r="D12" i="8"/>
  <c r="D10" i="8"/>
  <c r="C10" i="8"/>
  <c r="D5" i="8"/>
  <c r="C5" i="8"/>
  <c r="B24" i="2"/>
  <c r="A4" i="13"/>
  <c r="A5" i="13"/>
  <c r="A6" i="13"/>
  <c r="A7" i="13"/>
  <c r="A8" i="13"/>
  <c r="A9" i="13"/>
  <c r="A3" i="13"/>
  <c r="O19" i="1"/>
  <c r="N19" i="1"/>
  <c r="P19" i="1"/>
  <c r="L19" i="1"/>
  <c r="K19" i="1"/>
  <c r="M19" i="1"/>
  <c r="P16" i="1"/>
  <c r="M16" i="1"/>
  <c r="P15" i="1"/>
  <c r="M15" i="1"/>
  <c r="P14" i="1"/>
  <c r="M14" i="1"/>
  <c r="P13" i="1"/>
  <c r="M13" i="1"/>
  <c r="P12" i="1"/>
  <c r="M12" i="1"/>
  <c r="P11" i="1"/>
  <c r="M11" i="1"/>
  <c r="O9" i="1"/>
  <c r="O20" i="1"/>
  <c r="N9" i="1"/>
  <c r="N20" i="1"/>
  <c r="P20" i="1"/>
  <c r="L9" i="1"/>
  <c r="L20" i="1"/>
  <c r="K9" i="1"/>
  <c r="K20" i="1"/>
  <c r="M20" i="1"/>
  <c r="P8" i="1"/>
  <c r="M8" i="1"/>
  <c r="P7" i="1"/>
  <c r="M7" i="1"/>
  <c r="P6" i="1"/>
  <c r="M6" i="1"/>
  <c r="P5" i="1"/>
  <c r="M5" i="1"/>
  <c r="P4" i="1"/>
  <c r="M4" i="1"/>
  <c r="M9" i="1"/>
  <c r="P9" i="1"/>
  <c r="E18" i="1"/>
  <c r="D18" i="1"/>
  <c r="D37" i="1"/>
  <c r="J37" i="11"/>
  <c r="I37" i="11"/>
  <c r="J36" i="11"/>
  <c r="I36" i="11"/>
  <c r="J35" i="11"/>
  <c r="I35" i="11"/>
  <c r="L27" i="11"/>
  <c r="K27" i="11"/>
  <c r="J27" i="11"/>
  <c r="J19" i="11"/>
  <c r="J9" i="11"/>
  <c r="L19" i="11"/>
  <c r="L30" i="11"/>
  <c r="K19" i="11"/>
  <c r="L9" i="11"/>
  <c r="K9" i="11"/>
  <c r="K30" i="11"/>
  <c r="J30" i="11"/>
  <c r="E23" i="10"/>
  <c r="E24" i="10"/>
  <c r="E25" i="10"/>
  <c r="E26" i="10"/>
  <c r="E27" i="10"/>
  <c r="E22" i="10"/>
  <c r="E5" i="10"/>
  <c r="E6" i="10"/>
  <c r="E7" i="10"/>
  <c r="E8" i="10"/>
  <c r="E9" i="10"/>
  <c r="C9" i="11"/>
  <c r="E4" i="10"/>
  <c r="C27" i="11"/>
  <c r="C19" i="11"/>
  <c r="C30" i="11"/>
  <c r="E9" i="11"/>
  <c r="D9" i="11"/>
  <c r="E19" i="11"/>
  <c r="E27" i="11"/>
  <c r="D27" i="11"/>
  <c r="D19" i="11"/>
  <c r="D30" i="11"/>
  <c r="E14" i="10"/>
  <c r="E15" i="10"/>
  <c r="E16" i="10"/>
  <c r="E17" i="10"/>
  <c r="E18" i="10"/>
  <c r="E13" i="10"/>
  <c r="D44" i="2"/>
  <c r="D37" i="2"/>
  <c r="D22" i="2"/>
  <c r="D43" i="8"/>
  <c r="D42" i="8"/>
  <c r="D41" i="8"/>
  <c r="D40" i="8"/>
  <c r="D39" i="8"/>
  <c r="D38" i="8"/>
  <c r="D37" i="8"/>
  <c r="D36" i="8"/>
  <c r="D35" i="8"/>
  <c r="D34" i="8"/>
  <c r="D33" i="8"/>
  <c r="D32" i="8"/>
  <c r="D26" i="8"/>
  <c r="D24" i="8"/>
  <c r="D18" i="8"/>
  <c r="D19" i="8"/>
  <c r="D20" i="8"/>
  <c r="D21" i="8"/>
  <c r="D22" i="8"/>
  <c r="D23" i="8"/>
  <c r="D25" i="8"/>
  <c r="D27" i="8"/>
  <c r="D28" i="8"/>
  <c r="D17" i="8"/>
  <c r="D41" i="9"/>
  <c r="D40" i="9"/>
  <c r="D39" i="9"/>
  <c r="D38" i="9"/>
  <c r="D37" i="9"/>
  <c r="D36" i="9"/>
  <c r="D35" i="9"/>
  <c r="D34" i="9"/>
  <c r="D33" i="9"/>
  <c r="D32" i="9"/>
  <c r="D31" i="9"/>
  <c r="D19" i="9"/>
  <c r="D18" i="9"/>
  <c r="D24" i="9"/>
  <c r="D20" i="9"/>
  <c r="D21" i="9"/>
  <c r="D22" i="9"/>
  <c r="D23" i="9"/>
  <c r="D25" i="9"/>
  <c r="D26" i="9"/>
  <c r="D27" i="9"/>
  <c r="D28" i="9"/>
  <c r="L4" i="6"/>
  <c r="O4" i="6"/>
  <c r="L5" i="6"/>
  <c r="O5" i="6"/>
  <c r="L6" i="6"/>
  <c r="O6" i="6"/>
  <c r="L7" i="6"/>
  <c r="O7" i="6"/>
  <c r="J8" i="6"/>
  <c r="K8" i="6"/>
  <c r="L8" i="6"/>
  <c r="M8" i="6"/>
  <c r="N8" i="6"/>
  <c r="O8" i="6"/>
  <c r="O10" i="6"/>
  <c r="L11" i="6"/>
  <c r="L12" i="6"/>
  <c r="O12" i="6"/>
  <c r="L13" i="6"/>
  <c r="O13" i="6"/>
  <c r="L14" i="6"/>
  <c r="O14" i="6"/>
  <c r="L15" i="6"/>
  <c r="O15" i="6"/>
  <c r="J16" i="6"/>
  <c r="K16" i="6"/>
  <c r="L16" i="6"/>
  <c r="M16" i="6"/>
  <c r="N16" i="6"/>
  <c r="O16" i="6"/>
  <c r="J17" i="6"/>
  <c r="K17" i="6"/>
  <c r="L17" i="6"/>
  <c r="M17" i="6"/>
  <c r="N17" i="6"/>
  <c r="O17" i="6"/>
  <c r="C37" i="1"/>
  <c r="B8" i="6"/>
  <c r="C8" i="6"/>
  <c r="D8" i="6"/>
  <c r="B16" i="6"/>
  <c r="C16" i="6"/>
  <c r="D16" i="6"/>
  <c r="D21" i="6"/>
  <c r="D22" i="6"/>
  <c r="D23" i="6"/>
  <c r="D24" i="6"/>
  <c r="B25" i="6"/>
  <c r="C25" i="6"/>
  <c r="D25" i="6"/>
  <c r="D28" i="6"/>
  <c r="D29" i="6"/>
  <c r="D30" i="6"/>
  <c r="D31" i="6"/>
  <c r="D32" i="6"/>
  <c r="B33" i="6"/>
  <c r="C33" i="6"/>
  <c r="D33" i="6"/>
  <c r="D38" i="6"/>
  <c r="D39" i="6"/>
  <c r="D40" i="6"/>
  <c r="D41" i="6"/>
  <c r="B42" i="6"/>
  <c r="C42" i="6"/>
  <c r="D42" i="6"/>
  <c r="D44" i="6"/>
  <c r="D46" i="6"/>
  <c r="D47" i="6"/>
  <c r="D48" i="6"/>
  <c r="D49" i="6"/>
  <c r="B50" i="6"/>
  <c r="C50" i="6"/>
  <c r="E23" i="1"/>
  <c r="E24" i="1"/>
  <c r="E25" i="1"/>
  <c r="E26" i="1"/>
  <c r="E27" i="1"/>
  <c r="C28" i="1"/>
  <c r="D28" i="1"/>
  <c r="E28" i="1"/>
  <c r="E30" i="1"/>
  <c r="E31" i="1"/>
  <c r="E32" i="1"/>
  <c r="E33" i="1"/>
  <c r="E34" i="1"/>
  <c r="E35" i="1"/>
  <c r="D17" i="5"/>
  <c r="B18" i="5"/>
  <c r="C18" i="5"/>
  <c r="D18" i="5"/>
  <c r="G18" i="5"/>
  <c r="H18" i="5"/>
  <c r="I18" i="5"/>
  <c r="G11" i="5"/>
  <c r="G19" i="5"/>
  <c r="H11" i="5"/>
  <c r="H19" i="5"/>
  <c r="I11" i="5"/>
  <c r="I19" i="5"/>
  <c r="C38" i="5"/>
  <c r="B38" i="5"/>
  <c r="D37" i="5"/>
  <c r="B30" i="5"/>
  <c r="D29" i="5"/>
  <c r="D7" i="5"/>
  <c r="C11" i="5"/>
  <c r="B11" i="5"/>
  <c r="D11" i="5"/>
  <c r="D4" i="5"/>
  <c r="D5" i="5"/>
  <c r="D33" i="5"/>
  <c r="D32" i="5"/>
  <c r="C30" i="5"/>
  <c r="C39" i="5"/>
  <c r="D28" i="5"/>
  <c r="D26" i="5"/>
  <c r="D25" i="5"/>
  <c r="D24" i="5"/>
  <c r="D23" i="5"/>
  <c r="D16" i="5"/>
  <c r="D14" i="5"/>
  <c r="D13" i="5"/>
  <c r="D10" i="5"/>
  <c r="D9" i="5"/>
  <c r="D6" i="5"/>
  <c r="G20" i="2"/>
  <c r="H20" i="2"/>
  <c r="I20" i="2"/>
  <c r="I13" i="2"/>
  <c r="I24" i="2"/>
  <c r="H13" i="2"/>
  <c r="H24" i="2"/>
  <c r="G13" i="2"/>
  <c r="B20" i="2"/>
  <c r="C20" i="2"/>
  <c r="B13" i="2"/>
  <c r="C13" i="2"/>
  <c r="C24" i="2"/>
  <c r="C44" i="2"/>
  <c r="C37" i="2"/>
  <c r="C46" i="2"/>
  <c r="B37" i="2"/>
  <c r="B44" i="2"/>
  <c r="D11" i="2"/>
  <c r="D29" i="2"/>
  <c r="D30" i="2"/>
  <c r="D31" i="2"/>
  <c r="D33" i="2"/>
  <c r="D34" i="2"/>
  <c r="D36" i="2"/>
  <c r="D39" i="2"/>
  <c r="D40" i="2"/>
  <c r="D41" i="2"/>
  <c r="D42" i="2"/>
  <c r="D43" i="2"/>
  <c r="D28" i="2"/>
  <c r="D5" i="2"/>
  <c r="D6" i="2"/>
  <c r="D7" i="2"/>
  <c r="D9" i="2"/>
  <c r="D10" i="2"/>
  <c r="D15" i="2"/>
  <c r="D16" i="2"/>
  <c r="D17" i="2"/>
  <c r="D18" i="2"/>
  <c r="D19" i="2"/>
  <c r="D4" i="2"/>
  <c r="D20" i="2"/>
  <c r="C18" i="1"/>
  <c r="C9" i="1"/>
  <c r="E9" i="1"/>
  <c r="D9" i="1"/>
  <c r="D19" i="1"/>
  <c r="E42" i="1"/>
  <c r="E43" i="1"/>
  <c r="E44" i="1"/>
  <c r="E45" i="1"/>
  <c r="E46" i="1"/>
  <c r="E49" i="1"/>
  <c r="E50" i="1"/>
  <c r="E51" i="1"/>
  <c r="E52" i="1"/>
  <c r="E53" i="1"/>
  <c r="E54" i="1"/>
  <c r="D56" i="1"/>
  <c r="C56" i="1"/>
  <c r="D47" i="1"/>
  <c r="C47" i="1"/>
  <c r="E47" i="1"/>
  <c r="E19" i="1"/>
  <c r="D57" i="1"/>
  <c r="J31" i="11"/>
  <c r="K31" i="11"/>
  <c r="L31" i="11"/>
  <c r="E30" i="11"/>
  <c r="D31" i="11"/>
  <c r="E31" i="11"/>
  <c r="B35" i="11"/>
  <c r="C31" i="11"/>
  <c r="B46" i="2"/>
  <c r="D50" i="6"/>
  <c r="C51" i="6"/>
  <c r="B51" i="6"/>
  <c r="C34" i="6"/>
  <c r="B34" i="6"/>
  <c r="D17" i="6"/>
  <c r="C17" i="6"/>
  <c r="B17" i="6"/>
  <c r="C57" i="1"/>
  <c r="D34" i="6"/>
  <c r="D51" i="6"/>
  <c r="D38" i="1"/>
  <c r="E37" i="1"/>
  <c r="C38" i="1"/>
  <c r="E38" i="1"/>
  <c r="E56" i="1"/>
  <c r="C19" i="1"/>
  <c r="B39" i="5"/>
  <c r="C19" i="5"/>
  <c r="B19" i="5"/>
  <c r="D19" i="5"/>
  <c r="D39" i="5"/>
  <c r="D30" i="5"/>
  <c r="D46" i="2"/>
  <c r="D24" i="2"/>
  <c r="D13" i="2"/>
  <c r="E57" i="1"/>
  <c r="C37" i="11"/>
  <c r="B37" i="11"/>
  <c r="C36" i="11"/>
  <c r="B36" i="11"/>
  <c r="C35" i="11"/>
</calcChain>
</file>

<file path=xl/sharedStrings.xml><?xml version="1.0" encoding="utf-8"?>
<sst xmlns="http://schemas.openxmlformats.org/spreadsheetml/2006/main" count="608" uniqueCount="161">
  <si>
    <t>NO</t>
  </si>
  <si>
    <t>NAME</t>
  </si>
  <si>
    <t>MATRIC NUMBER</t>
  </si>
  <si>
    <t xml:space="preserve"> NORNADIA NATASYA BINTI MOHD NORDIN</t>
  </si>
  <si>
    <t>A195579</t>
  </si>
  <si>
    <t>MUHAMMAD IFFAT SYIMIR BIN HAMZAH</t>
  </si>
  <si>
    <t>A194629</t>
  </si>
  <si>
    <t xml:space="preserve">NURUL HAZWANI BINTI BADARI </t>
  </si>
  <si>
    <t>A196406</t>
  </si>
  <si>
    <t>NUR AINI ZAKIAH BINTI MOHD SAID</t>
  </si>
  <si>
    <t>A195598</t>
  </si>
  <si>
    <t>MUHAMMAD IZZAT BIN ABDULLAH</t>
  </si>
  <si>
    <t>A195202</t>
  </si>
  <si>
    <t>MUHAMMAD HAFIZ SAFWAN BIN SULAIMAN</t>
  </si>
  <si>
    <t>A195420</t>
  </si>
  <si>
    <t>FATIN NADIAH BINTI BURHANUDDIN</t>
  </si>
  <si>
    <t>A195954</t>
  </si>
  <si>
    <t>ANIS WAJIHAH BINTI WAKIL</t>
  </si>
  <si>
    <t>A194942</t>
  </si>
  <si>
    <t>2022 (RM'000)</t>
  </si>
  <si>
    <t>2023 (RM'000)</t>
  </si>
  <si>
    <t>2024 (RM'000)</t>
  </si>
  <si>
    <t>BONIA</t>
  </si>
  <si>
    <t>Revenue</t>
  </si>
  <si>
    <t>NET PROFIT TREND</t>
  </si>
  <si>
    <t>Cost of sales</t>
  </si>
  <si>
    <t>Increase then decrease significantly</t>
  </si>
  <si>
    <t>Gross Profit</t>
  </si>
  <si>
    <t>Increase  by 19.01% from 2022 to 2023</t>
  </si>
  <si>
    <t>Other income</t>
  </si>
  <si>
    <t>Decrease significantly by 36.22% from 2023 to 2024</t>
  </si>
  <si>
    <t>Selling and distribution Cost</t>
  </si>
  <si>
    <t>Administrative expense</t>
  </si>
  <si>
    <t>Share of profit of an associate, net of tax</t>
  </si>
  <si>
    <t>Profit for Operations</t>
  </si>
  <si>
    <t>Finance costs</t>
  </si>
  <si>
    <t>PROFIT BEFORE TAX</t>
  </si>
  <si>
    <t>TAXATION</t>
  </si>
  <si>
    <t>PROFIT AFTER TAX (NET PROFIT)</t>
  </si>
  <si>
    <t>Percentage Change</t>
  </si>
  <si>
    <t>PADINI Holdings SDN BHD</t>
  </si>
  <si>
    <t>INCREASE THEN DECREASE</t>
  </si>
  <si>
    <t>Increase by 44.51% from 2022 to 2023</t>
  </si>
  <si>
    <t xml:space="preserve"> Decrease by 45.27% from 2023 to 2024</t>
  </si>
  <si>
    <t>ASSETS</t>
  </si>
  <si>
    <t>Difference In %</t>
  </si>
  <si>
    <t>Non - current assets</t>
  </si>
  <si>
    <t>Property, plant and equipment</t>
  </si>
  <si>
    <t>Right-of-use assets</t>
  </si>
  <si>
    <t>Investment properties</t>
  </si>
  <si>
    <t>Intangible assets</t>
  </si>
  <si>
    <t>Investment in subsidiaries</t>
  </si>
  <si>
    <t>Interests in associates</t>
  </si>
  <si>
    <t>Other investments</t>
  </si>
  <si>
    <t>Deferred tax assets</t>
  </si>
  <si>
    <t>Other receivables</t>
  </si>
  <si>
    <t>Current assets</t>
  </si>
  <si>
    <t>Inventories</t>
  </si>
  <si>
    <t>Trade and other receivables</t>
  </si>
  <si>
    <t>Current tax assets</t>
  </si>
  <si>
    <t>Cash and bank balances</t>
  </si>
  <si>
    <t>Short term funds</t>
  </si>
  <si>
    <t>Non - current assets/ disposal group classified as held for sale/ held for distribution</t>
  </si>
  <si>
    <t>TOTAL ASSETS</t>
  </si>
  <si>
    <t>Difference In  %</t>
  </si>
  <si>
    <t>Trend analysis - total assets</t>
  </si>
  <si>
    <t>Total assets increases by 7.5% from 2022 to 2023</t>
  </si>
  <si>
    <t>Total assets increases by 2.95% from 2023 to 2024</t>
  </si>
  <si>
    <t>Overall, this shows a positive growth trend.</t>
  </si>
  <si>
    <t>Main sources of funds (where the funds come from)</t>
  </si>
  <si>
    <t>cash and bank balances</t>
  </si>
  <si>
    <t>trade and other receivables</t>
  </si>
  <si>
    <t>short term funds</t>
  </si>
  <si>
    <t>Main uses of funds (how the funds are used)</t>
  </si>
  <si>
    <t>Amounts due from subsidiaries</t>
  </si>
  <si>
    <t>Investment property</t>
  </si>
  <si>
    <t xml:space="preserve">                         -</t>
  </si>
  <si>
    <t>Total assets increases by 11.52% from 2022 to 2023</t>
  </si>
  <si>
    <t>Total assets increases by 9.79% from 2023 to 2024</t>
  </si>
  <si>
    <t>This indicates positive growth in the company’s asset base</t>
  </si>
  <si>
    <t>LIABILITIES</t>
  </si>
  <si>
    <t>Trend of Liabilities</t>
  </si>
  <si>
    <t>Difference in %</t>
  </si>
  <si>
    <t>Trend</t>
  </si>
  <si>
    <t>Non-current liabilities</t>
  </si>
  <si>
    <t>Total Liabilities</t>
  </si>
  <si>
    <t>Increased by 7.2% from 2022 to 2023</t>
  </si>
  <si>
    <t>Borrowings</t>
  </si>
  <si>
    <t>Increased by 3.01% from 2023 to 2024</t>
  </si>
  <si>
    <t>significant ↓</t>
  </si>
  <si>
    <t>Other payable</t>
  </si>
  <si>
    <t>Non-Current Liabilities</t>
  </si>
  <si>
    <t>↑ then ↓</t>
  </si>
  <si>
    <t>Lease liabilities</t>
  </si>
  <si>
    <t>Increased significantly</t>
  </si>
  <si>
    <t>significant ↑</t>
  </si>
  <si>
    <t>Provision for restoration costs</t>
  </si>
  <si>
    <t>Increasing and then decreasing</t>
  </si>
  <si>
    <t>gradual ↑</t>
  </si>
  <si>
    <t>Deferred tax liabilities</t>
  </si>
  <si>
    <t>Provision for employee benefits</t>
  </si>
  <si>
    <t>Stable</t>
  </si>
  <si>
    <t>Remain relatively stable</t>
  </si>
  <si>
    <t>Current liabilities</t>
  </si>
  <si>
    <t>Trade and other payables</t>
  </si>
  <si>
    <t>Current Liabilities</t>
  </si>
  <si>
    <t>Decreased significantly</t>
  </si>
  <si>
    <t>Borrowing</t>
  </si>
  <si>
    <t>Contract liabilities</t>
  </si>
  <si>
    <t>Gradual increase</t>
  </si>
  <si>
    <t>Current tax liabilities</t>
  </si>
  <si>
    <t>Liabilities of disposal group classified as held for distribution</t>
  </si>
  <si>
    <t>-</t>
  </si>
  <si>
    <t>One Time</t>
  </si>
  <si>
    <t>One Time (No comparision)</t>
  </si>
  <si>
    <t>TOTAL LIABILITIES</t>
  </si>
  <si>
    <t>Main Concern</t>
  </si>
  <si>
    <t>Reason</t>
  </si>
  <si>
    <t>Lease Liabilities</t>
  </si>
  <si>
    <t>increased steadily, indicating long-term commitments that could pressure future cash flows.</t>
  </si>
  <si>
    <t>spiked in 2023 and dropped in 2024, suggesting possible liquidity or short-term financing issues.</t>
  </si>
  <si>
    <t>Other payables and tax liabilities</t>
  </si>
  <si>
    <t>declined sharply in 2024, which may reflect repayments or reduced business activity.</t>
  </si>
  <si>
    <t xml:space="preserve">  </t>
  </si>
  <si>
    <t>PADINI HOLDINGS BERHAD</t>
  </si>
  <si>
    <t>Increasing over the three-year period</t>
  </si>
  <si>
    <t>Increased by 3.82% from 2022 to 2023</t>
  </si>
  <si>
    <t>Increased by 14.71% from 2023 to 2024</t>
  </si>
  <si>
    <t>stable</t>
  </si>
  <si>
    <t>Increased slightly and then decreased significantly</t>
  </si>
  <si>
    <t>Consistently rising indicates long-term financial commitments, which could strain cash flows if sales don’t grow proportionally.</t>
  </si>
  <si>
    <t>Sudden appearance and rapid increase in short-term borrowings suggest that Padini may be relying on debt to fund operations or expansion. If not managed properly, this could lead to liquidity risks and higher interest expenses.</t>
  </si>
  <si>
    <t>EQUITY AND LIABILITIES (BONIA)</t>
  </si>
  <si>
    <t>EQUITY AND LIABILITIES (PADINI)</t>
  </si>
  <si>
    <t xml:space="preserve">Equity </t>
  </si>
  <si>
    <t>2023 (RM' 000)</t>
  </si>
  <si>
    <t>Share Capital</t>
  </si>
  <si>
    <t>Reserve</t>
  </si>
  <si>
    <t>Non-controlling interests</t>
  </si>
  <si>
    <t>TOTAL EQUITY</t>
  </si>
  <si>
    <t>TOTAL EQUITY AND LIABILITIES</t>
  </si>
  <si>
    <t>YEAR</t>
  </si>
  <si>
    <t>PERCENTAGE OF EACH (%)</t>
  </si>
  <si>
    <t>EQUITY</t>
  </si>
  <si>
    <t>Profitability</t>
  </si>
  <si>
    <t>Year</t>
  </si>
  <si>
    <t>Company</t>
  </si>
  <si>
    <t>Revenue (RM'000)</t>
  </si>
  <si>
    <t>Net Profit (RM'000)</t>
  </si>
  <si>
    <t>Net Profit Margin (%)</t>
  </si>
  <si>
    <t>Summary</t>
  </si>
  <si>
    <t>Padini</t>
  </si>
  <si>
    <t>Current Ratio (RM'000)</t>
  </si>
  <si>
    <t>Debt-to-Equity Ratio</t>
  </si>
  <si>
    <t>Bonia</t>
  </si>
  <si>
    <t>Liquidity</t>
  </si>
  <si>
    <t>Current assets (RM'000)</t>
  </si>
  <si>
    <t>Current Liabilities (RM'000)</t>
  </si>
  <si>
    <t>Solvency</t>
  </si>
  <si>
    <t>Total Liabilities (RM'000)</t>
  </si>
  <si>
    <t>Total Equity (RM'000)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</si>
</sst>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</font>
    <font>
      <sz val="14"/>
      <color rgb="FF000000"/>
      <name val="Calibri"/>
      <family val="2"/>
    </font>
    <font>
      <sz val="11"/>
      <color theme="0"/>
      <name val="Calibri"/>
      <family val="2"/>
      <scheme val="minor"/>
    </font>
    <font>
      <sz val="6"/>
      <name val="Yu Gothic"/>
      <family val="2"/>
      <charset val="128"/>
    </font>
  </fonts>
  <fills count="1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2DCDA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 style="thin">
        <color theme="1"/>
      </right>
      <top/>
      <bottom/>
      <diagonal/>
    </border>
  </borders>
  <cellStyleXfs count="1">
    <xf numFmtId="0" fontId="0" fillId="0" borderId="0"/>
  </cellStyleXfs>
  <cellXfs count="261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1" xfId="0" applyBorder="1"/>
    <xf numFmtId="3" fontId="0" fillId="0" borderId="0" xfId="0" applyNumberFormat="1"/>
    <xf numFmtId="3" fontId="1" fillId="0" borderId="0" xfId="0" applyNumberFormat="1" applyFo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3" fontId="0" fillId="0" borderId="2" xfId="0" applyNumberFormat="1" applyBorder="1"/>
    <xf numFmtId="3" fontId="1" fillId="0" borderId="2" xfId="0" applyNumberFormat="1" applyFont="1" applyBorder="1"/>
    <xf numFmtId="3" fontId="0" fillId="0" borderId="0" xfId="0" applyNumberFormat="1" applyAlignment="1">
      <alignment horizontal="right"/>
    </xf>
    <xf numFmtId="0" fontId="1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3" fontId="0" fillId="0" borderId="0" xfId="0" applyNumberFormat="1" applyAlignment="1">
      <alignment horizontal="right" vertical="center" wrapText="1"/>
    </xf>
    <xf numFmtId="3" fontId="1" fillId="0" borderId="0" xfId="0" applyNumberFormat="1" applyFont="1" applyAlignment="1">
      <alignment horizontal="right" vertical="center" wrapText="1"/>
    </xf>
    <xf numFmtId="0" fontId="1" fillId="0" borderId="8" xfId="0" applyFont="1" applyBorder="1"/>
    <xf numFmtId="0" fontId="0" fillId="0" borderId="8" xfId="0" applyBorder="1"/>
    <xf numFmtId="0" fontId="0" fillId="4" borderId="6" xfId="0" applyFill="1" applyBorder="1"/>
    <xf numFmtId="0" fontId="1" fillId="4" borderId="7" xfId="0" applyFont="1" applyFill="1" applyBorder="1"/>
    <xf numFmtId="0" fontId="1" fillId="4" borderId="6" xfId="0" applyFont="1" applyFill="1" applyBorder="1"/>
    <xf numFmtId="0" fontId="1" fillId="0" borderId="10" xfId="0" applyFont="1" applyBorder="1"/>
    <xf numFmtId="0" fontId="0" fillId="0" borderId="10" xfId="0" applyBorder="1"/>
    <xf numFmtId="0" fontId="0" fillId="0" borderId="10" xfId="0" applyBorder="1" applyAlignment="1">
      <alignment wrapText="1"/>
    </xf>
    <xf numFmtId="0" fontId="0" fillId="0" borderId="11" xfId="0" applyBorder="1"/>
    <xf numFmtId="3" fontId="0" fillId="0" borderId="8" xfId="0" applyNumberFormat="1" applyBorder="1"/>
    <xf numFmtId="3" fontId="1" fillId="0" borderId="9" xfId="0" applyNumberFormat="1" applyFont="1" applyBorder="1"/>
    <xf numFmtId="3" fontId="1" fillId="4" borderId="6" xfId="0" applyNumberFormat="1" applyFont="1" applyFill="1" applyBorder="1"/>
    <xf numFmtId="0" fontId="2" fillId="5" borderId="3" xfId="0" applyFont="1" applyFill="1" applyBorder="1"/>
    <xf numFmtId="3" fontId="2" fillId="5" borderId="4" xfId="0" applyNumberFormat="1" applyFont="1" applyFill="1" applyBorder="1"/>
    <xf numFmtId="3" fontId="2" fillId="5" borderId="5" xfId="0" applyNumberFormat="1" applyFont="1" applyFill="1" applyBorder="1"/>
    <xf numFmtId="0" fontId="2" fillId="5" borderId="12" xfId="0" applyFont="1" applyFill="1" applyBorder="1"/>
    <xf numFmtId="3" fontId="2" fillId="5" borderId="12" xfId="0" applyNumberFormat="1" applyFont="1" applyFill="1" applyBorder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4" fontId="0" fillId="0" borderId="2" xfId="0" applyNumberFormat="1" applyBorder="1"/>
    <xf numFmtId="164" fontId="0" fillId="0" borderId="2" xfId="0" applyNumberFormat="1" applyBorder="1" applyAlignment="1">
      <alignment horizontal="right"/>
    </xf>
    <xf numFmtId="164" fontId="3" fillId="2" borderId="12" xfId="0" applyNumberFormat="1" applyFont="1" applyFill="1" applyBorder="1"/>
    <xf numFmtId="0" fontId="1" fillId="0" borderId="13" xfId="0" applyFont="1" applyBorder="1" applyAlignment="1">
      <alignment vertical="top" wrapText="1"/>
    </xf>
    <xf numFmtId="0" fontId="0" fillId="0" borderId="14" xfId="0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15" xfId="0" applyBorder="1" applyAlignment="1">
      <alignment vertical="top" wrapText="1"/>
    </xf>
    <xf numFmtId="0" fontId="0" fillId="0" borderId="16" xfId="0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right" vertical="center" wrapText="1"/>
    </xf>
    <xf numFmtId="3" fontId="1" fillId="0" borderId="1" xfId="0" applyNumberFormat="1" applyFont="1" applyBorder="1" applyAlignment="1">
      <alignment horizontal="right" vertical="center" wrapText="1"/>
    </xf>
    <xf numFmtId="0" fontId="0" fillId="0" borderId="12" xfId="0" applyBorder="1" applyAlignment="1">
      <alignment wrapText="1"/>
    </xf>
    <xf numFmtId="0" fontId="0" fillId="0" borderId="12" xfId="0" applyBorder="1" applyAlignment="1">
      <alignment vertical="top" wrapText="1"/>
    </xf>
    <xf numFmtId="0" fontId="2" fillId="5" borderId="12" xfId="0" applyFont="1" applyFill="1" applyBorder="1" applyAlignment="1">
      <alignment wrapText="1"/>
    </xf>
    <xf numFmtId="0" fontId="0" fillId="0" borderId="0" xfId="0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18" xfId="0" applyBorder="1"/>
    <xf numFmtId="0" fontId="2" fillId="5" borderId="13" xfId="0" applyFont="1" applyFill="1" applyBorder="1"/>
    <xf numFmtId="0" fontId="2" fillId="5" borderId="15" xfId="0" applyFont="1" applyFill="1" applyBorder="1"/>
    <xf numFmtId="0" fontId="2" fillId="5" borderId="13" xfId="0" applyFont="1" applyFill="1" applyBorder="1" applyAlignment="1">
      <alignment horizontal="center"/>
    </xf>
    <xf numFmtId="0" fontId="2" fillId="5" borderId="20" xfId="0" applyFont="1" applyFill="1" applyBorder="1" applyAlignment="1">
      <alignment horizontal="center"/>
    </xf>
    <xf numFmtId="3" fontId="0" fillId="0" borderId="1" xfId="0" applyNumberFormat="1" applyBorder="1"/>
    <xf numFmtId="3" fontId="1" fillId="0" borderId="1" xfId="0" applyNumberFormat="1" applyFont="1" applyBorder="1"/>
    <xf numFmtId="3" fontId="2" fillId="5" borderId="15" xfId="0" applyNumberFormat="1" applyFont="1" applyFill="1" applyBorder="1"/>
    <xf numFmtId="3" fontId="2" fillId="5" borderId="21" xfId="0" applyNumberFormat="1" applyFont="1" applyFill="1" applyBorder="1"/>
    <xf numFmtId="164" fontId="0" fillId="0" borderId="0" xfId="0" applyNumberFormat="1"/>
    <xf numFmtId="164" fontId="0" fillId="0" borderId="0" xfId="0" applyNumberFormat="1" applyAlignment="1">
      <alignment horizontal="right"/>
    </xf>
    <xf numFmtId="3" fontId="0" fillId="0" borderId="1" xfId="0" applyNumberFormat="1" applyBorder="1" applyAlignment="1">
      <alignment horizontal="right"/>
    </xf>
    <xf numFmtId="0" fontId="2" fillId="5" borderId="17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8" borderId="18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164" fontId="3" fillId="6" borderId="12" xfId="0" applyNumberFormat="1" applyFont="1" applyFill="1" applyBorder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1" fillId="4" borderId="4" xfId="0" applyFont="1" applyFill="1" applyBorder="1"/>
    <xf numFmtId="0" fontId="1" fillId="4" borderId="4" xfId="0" applyFont="1" applyFill="1" applyBorder="1" applyAlignment="1">
      <alignment horizontal="center" vertical="center" wrapText="1"/>
    </xf>
    <xf numFmtId="3" fontId="1" fillId="4" borderId="4" xfId="0" applyNumberFormat="1" applyFont="1" applyFill="1" applyBorder="1" applyAlignment="1">
      <alignment horizontal="right" vertical="center" wrapText="1"/>
    </xf>
    <xf numFmtId="0" fontId="1" fillId="4" borderId="3" xfId="0" applyFont="1" applyFill="1" applyBorder="1" applyAlignment="1">
      <alignment horizontal="center" vertical="center" wrapText="1"/>
    </xf>
    <xf numFmtId="3" fontId="1" fillId="4" borderId="3" xfId="0" applyNumberFormat="1" applyFont="1" applyFill="1" applyBorder="1" applyAlignment="1">
      <alignment horizontal="right" vertical="center" wrapText="1"/>
    </xf>
    <xf numFmtId="0" fontId="0" fillId="0" borderId="12" xfId="0" applyBorder="1"/>
    <xf numFmtId="0" fontId="0" fillId="10" borderId="1" xfId="0" applyFill="1" applyBorder="1" applyAlignment="1">
      <alignment horizontal="center" vertical="center" wrapText="1"/>
    </xf>
    <xf numFmtId="0" fontId="0" fillId="0" borderId="19" xfId="0" applyBorder="1"/>
    <xf numFmtId="0" fontId="1" fillId="11" borderId="4" xfId="0" applyFont="1" applyFill="1" applyBorder="1" applyAlignment="1">
      <alignment horizontal="right" vertical="center" wrapText="1"/>
    </xf>
    <xf numFmtId="0" fontId="0" fillId="0" borderId="12" xfId="0" applyBorder="1" applyAlignment="1">
      <alignment vertical="top"/>
    </xf>
    <xf numFmtId="0" fontId="0" fillId="0" borderId="17" xfId="0" applyBorder="1"/>
    <xf numFmtId="3" fontId="0" fillId="0" borderId="14" xfId="0" applyNumberFormat="1" applyBorder="1"/>
    <xf numFmtId="3" fontId="0" fillId="0" borderId="16" xfId="0" applyNumberFormat="1" applyBorder="1"/>
    <xf numFmtId="0" fontId="0" fillId="0" borderId="19" xfId="0" applyBorder="1" applyAlignment="1">
      <alignment wrapText="1"/>
    </xf>
    <xf numFmtId="3" fontId="0" fillId="0" borderId="17" xfId="0" applyNumberFormat="1" applyBorder="1"/>
    <xf numFmtId="3" fontId="0" fillId="0" borderId="19" xfId="0" applyNumberFormat="1" applyBorder="1"/>
    <xf numFmtId="3" fontId="0" fillId="0" borderId="18" xfId="0" applyNumberFormat="1" applyBorder="1"/>
    <xf numFmtId="0" fontId="0" fillId="0" borderId="23" xfId="0" applyBorder="1"/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right"/>
    </xf>
    <xf numFmtId="0" fontId="0" fillId="13" borderId="0" xfId="0" applyFill="1"/>
    <xf numFmtId="0" fontId="0" fillId="13" borderId="25" xfId="0" applyFill="1" applyBorder="1"/>
    <xf numFmtId="0" fontId="0" fillId="13" borderId="23" xfId="0" applyFill="1" applyBorder="1"/>
    <xf numFmtId="0" fontId="1" fillId="13" borderId="23" xfId="0" applyFont="1" applyFill="1" applyBorder="1" applyAlignment="1">
      <alignment horizontal="right"/>
    </xf>
    <xf numFmtId="0" fontId="1" fillId="13" borderId="26" xfId="0" applyFont="1" applyFill="1" applyBorder="1" applyAlignment="1">
      <alignment horizontal="right"/>
    </xf>
    <xf numFmtId="3" fontId="0" fillId="0" borderId="8" xfId="0" applyNumberFormat="1" applyBorder="1" applyAlignment="1">
      <alignment horizontal="right" vertical="center" wrapText="1"/>
    </xf>
    <xf numFmtId="3" fontId="1" fillId="0" borderId="8" xfId="0" applyNumberFormat="1" applyFont="1" applyBorder="1" applyAlignment="1">
      <alignment horizontal="right" vertical="center" wrapText="1"/>
    </xf>
    <xf numFmtId="3" fontId="0" fillId="0" borderId="8" xfId="0" applyNumberFormat="1" applyBorder="1" applyAlignment="1">
      <alignment horizontal="right"/>
    </xf>
    <xf numFmtId="0" fontId="0" fillId="0" borderId="0" xfId="0" applyAlignment="1">
      <alignment horizontal="left" wrapText="1"/>
    </xf>
    <xf numFmtId="0" fontId="4" fillId="0" borderId="0" xfId="0" applyFont="1" applyAlignment="1">
      <alignment horizontal="left" wrapText="1"/>
    </xf>
    <xf numFmtId="0" fontId="1" fillId="13" borderId="23" xfId="0" applyFont="1" applyFill="1" applyBorder="1"/>
    <xf numFmtId="3" fontId="1" fillId="0" borderId="0" xfId="0" applyNumberFormat="1" applyFont="1" applyAlignment="1">
      <alignment horizontal="right"/>
    </xf>
    <xf numFmtId="3" fontId="1" fillId="0" borderId="8" xfId="0" applyNumberFormat="1" applyFont="1" applyBorder="1" applyAlignment="1">
      <alignment horizontal="right"/>
    </xf>
    <xf numFmtId="0" fontId="4" fillId="0" borderId="7" xfId="0" applyFont="1" applyBorder="1" applyAlignment="1">
      <alignment horizontal="left" wrapText="1"/>
    </xf>
    <xf numFmtId="0" fontId="4" fillId="0" borderId="7" xfId="0" applyFont="1" applyBorder="1" applyAlignment="1">
      <alignment horizontal="left"/>
    </xf>
    <xf numFmtId="3" fontId="4" fillId="0" borderId="7" xfId="0" applyNumberFormat="1" applyFont="1" applyBorder="1" applyAlignment="1">
      <alignment horizontal="left"/>
    </xf>
    <xf numFmtId="0" fontId="0" fillId="0" borderId="7" xfId="0" applyBorder="1" applyAlignment="1">
      <alignment horizontal="left" wrapText="1"/>
    </xf>
    <xf numFmtId="3" fontId="0" fillId="0" borderId="7" xfId="0" applyNumberFormat="1" applyBorder="1" applyAlignment="1">
      <alignment horizontal="left"/>
    </xf>
    <xf numFmtId="0" fontId="0" fillId="0" borderId="7" xfId="0" applyBorder="1" applyAlignment="1">
      <alignment horizontal="left"/>
    </xf>
    <xf numFmtId="3" fontId="0" fillId="0" borderId="32" xfId="0" applyNumberFormat="1" applyBorder="1" applyAlignment="1">
      <alignment horizontal="left"/>
    </xf>
    <xf numFmtId="0" fontId="0" fillId="0" borderId="32" xfId="0" applyBorder="1" applyAlignment="1">
      <alignment horizontal="left"/>
    </xf>
    <xf numFmtId="0" fontId="0" fillId="0" borderId="40" xfId="0" applyBorder="1"/>
    <xf numFmtId="0" fontId="0" fillId="0" borderId="40" xfId="0" applyBorder="1" applyAlignment="1">
      <alignment horizontal="left"/>
    </xf>
    <xf numFmtId="0" fontId="0" fillId="0" borderId="33" xfId="0" applyBorder="1" applyAlignment="1">
      <alignment horizontal="left" wrapText="1"/>
    </xf>
    <xf numFmtId="0" fontId="0" fillId="0" borderId="45" xfId="0" applyBorder="1" applyAlignment="1">
      <alignment horizontal="left"/>
    </xf>
    <xf numFmtId="0" fontId="0" fillId="0" borderId="11" xfId="0" applyBorder="1" applyAlignment="1">
      <alignment horizontal="center" vertical="center" wrapText="1"/>
    </xf>
    <xf numFmtId="0" fontId="1" fillId="0" borderId="11" xfId="0" applyFont="1" applyBorder="1"/>
    <xf numFmtId="0" fontId="1" fillId="13" borderId="0" xfId="0" applyFont="1" applyFill="1"/>
    <xf numFmtId="2" fontId="1" fillId="13" borderId="0" xfId="0" applyNumberFormat="1" applyFont="1" applyFill="1"/>
    <xf numFmtId="2" fontId="0" fillId="0" borderId="45" xfId="0" applyNumberFormat="1" applyBorder="1" applyAlignment="1">
      <alignment horizontal="left"/>
    </xf>
    <xf numFmtId="2" fontId="0" fillId="0" borderId="7" xfId="0" applyNumberFormat="1" applyBorder="1" applyAlignment="1">
      <alignment horizontal="left"/>
    </xf>
    <xf numFmtId="2" fontId="0" fillId="0" borderId="33" xfId="0" applyNumberFormat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8" xfId="0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0" borderId="15" xfId="0" applyBorder="1"/>
    <xf numFmtId="0" fontId="3" fillId="4" borderId="12" xfId="0" applyFont="1" applyFill="1" applyBorder="1" applyAlignment="1">
      <alignment wrapText="1"/>
    </xf>
    <xf numFmtId="0" fontId="0" fillId="7" borderId="3" xfId="0" applyFill="1" applyBorder="1" applyAlignment="1">
      <alignment horizontal="center" vertical="center"/>
    </xf>
    <xf numFmtId="0" fontId="2" fillId="5" borderId="17" xfId="0" applyFont="1" applyFill="1" applyBorder="1"/>
    <xf numFmtId="0" fontId="2" fillId="5" borderId="17" xfId="0" applyFont="1" applyFill="1" applyBorder="1" applyAlignment="1">
      <alignment wrapText="1"/>
    </xf>
    <xf numFmtId="0" fontId="2" fillId="5" borderId="20" xfId="0" applyFont="1" applyFill="1" applyBorder="1" applyAlignment="1">
      <alignment wrapText="1"/>
    </xf>
    <xf numFmtId="0" fontId="2" fillId="5" borderId="7" xfId="0" applyFont="1" applyFill="1" applyBorder="1"/>
    <xf numFmtId="0" fontId="2" fillId="5" borderId="6" xfId="0" applyFont="1" applyFill="1" applyBorder="1"/>
    <xf numFmtId="3" fontId="2" fillId="5" borderId="6" xfId="0" applyNumberFormat="1" applyFont="1" applyFill="1" applyBorder="1"/>
    <xf numFmtId="0" fontId="2" fillId="5" borderId="6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left"/>
    </xf>
    <xf numFmtId="0" fontId="2" fillId="5" borderId="36" xfId="0" applyFont="1" applyFill="1" applyBorder="1"/>
    <xf numFmtId="0" fontId="2" fillId="5" borderId="37" xfId="0" applyFont="1" applyFill="1" applyBorder="1"/>
    <xf numFmtId="0" fontId="2" fillId="5" borderId="44" xfId="0" applyFont="1" applyFill="1" applyBorder="1"/>
    <xf numFmtId="0" fontId="2" fillId="5" borderId="45" xfId="0" applyFont="1" applyFill="1" applyBorder="1"/>
    <xf numFmtId="0" fontId="6" fillId="5" borderId="40" xfId="0" applyFont="1" applyFill="1" applyBorder="1"/>
    <xf numFmtId="3" fontId="2" fillId="5" borderId="40" xfId="0" applyNumberFormat="1" applyFont="1" applyFill="1" applyBorder="1"/>
    <xf numFmtId="3" fontId="2" fillId="5" borderId="40" xfId="0" applyNumberFormat="1" applyFont="1" applyFill="1" applyBorder="1" applyAlignment="1">
      <alignment horizontal="right"/>
    </xf>
    <xf numFmtId="3" fontId="2" fillId="5" borderId="6" xfId="0" applyNumberFormat="1" applyFont="1" applyFill="1" applyBorder="1" applyAlignment="1">
      <alignment horizontal="right"/>
    </xf>
    <xf numFmtId="0" fontId="2" fillId="5" borderId="46" xfId="0" applyFont="1" applyFill="1" applyBorder="1"/>
    <xf numFmtId="0" fontId="2" fillId="5" borderId="28" xfId="0" applyFont="1" applyFill="1" applyBorder="1"/>
    <xf numFmtId="0" fontId="2" fillId="5" borderId="38" xfId="0" applyFont="1" applyFill="1" applyBorder="1"/>
    <xf numFmtId="0" fontId="2" fillId="5" borderId="47" xfId="0" applyFont="1" applyFill="1" applyBorder="1"/>
    <xf numFmtId="0" fontId="2" fillId="5" borderId="30" xfId="0" applyFont="1" applyFill="1" applyBorder="1"/>
    <xf numFmtId="0" fontId="2" fillId="5" borderId="39" xfId="0" applyFont="1" applyFill="1" applyBorder="1"/>
    <xf numFmtId="0" fontId="2" fillId="5" borderId="24" xfId="0" applyFont="1" applyFill="1" applyBorder="1"/>
    <xf numFmtId="0" fontId="6" fillId="5" borderId="31" xfId="0" applyFont="1" applyFill="1" applyBorder="1"/>
    <xf numFmtId="3" fontId="2" fillId="5" borderId="31" xfId="0" applyNumberFormat="1" applyFont="1" applyFill="1" applyBorder="1"/>
    <xf numFmtId="3" fontId="2" fillId="5" borderId="31" xfId="0" applyNumberFormat="1" applyFont="1" applyFill="1" applyBorder="1" applyAlignment="1">
      <alignment horizontal="right" vertical="center" wrapText="1"/>
    </xf>
    <xf numFmtId="3" fontId="2" fillId="5" borderId="9" xfId="0" applyNumberFormat="1" applyFont="1" applyFill="1" applyBorder="1" applyAlignment="1">
      <alignment horizontal="right" vertical="center" wrapText="1"/>
    </xf>
    <xf numFmtId="0" fontId="2" fillId="5" borderId="48" xfId="0" applyFont="1" applyFill="1" applyBorder="1"/>
    <xf numFmtId="0" fontId="2" fillId="5" borderId="34" xfId="0" applyFont="1" applyFill="1" applyBorder="1"/>
    <xf numFmtId="3" fontId="2" fillId="5" borderId="34" xfId="0" applyNumberFormat="1" applyFont="1" applyFill="1" applyBorder="1"/>
    <xf numFmtId="3" fontId="2" fillId="5" borderId="34" xfId="0" applyNumberFormat="1" applyFont="1" applyFill="1" applyBorder="1" applyAlignment="1">
      <alignment horizontal="right"/>
    </xf>
    <xf numFmtId="3" fontId="2" fillId="5" borderId="35" xfId="0" applyNumberFormat="1" applyFont="1" applyFill="1" applyBorder="1" applyAlignment="1">
      <alignment horizontal="right"/>
    </xf>
    <xf numFmtId="0" fontId="2" fillId="5" borderId="26" xfId="0" applyFont="1" applyFill="1" applyBorder="1" applyAlignment="1">
      <alignment horizontal="center"/>
    </xf>
    <xf numFmtId="0" fontId="2" fillId="5" borderId="33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2" fontId="1" fillId="0" borderId="6" xfId="0" applyNumberFormat="1" applyFont="1" applyBorder="1" applyAlignment="1">
      <alignment horizontal="center"/>
    </xf>
    <xf numFmtId="2" fontId="1" fillId="0" borderId="7" xfId="0" applyNumberFormat="1" applyFont="1" applyBorder="1" applyAlignment="1">
      <alignment horizontal="center"/>
    </xf>
    <xf numFmtId="0" fontId="1" fillId="4" borderId="17" xfId="0" applyFont="1" applyFill="1" applyBorder="1"/>
    <xf numFmtId="0" fontId="1" fillId="4" borderId="17" xfId="0" applyFont="1" applyFill="1" applyBorder="1" applyAlignment="1">
      <alignment wrapText="1"/>
    </xf>
    <xf numFmtId="0" fontId="1" fillId="4" borderId="12" xfId="0" applyFont="1" applyFill="1" applyBorder="1"/>
    <xf numFmtId="3" fontId="1" fillId="4" borderId="12" xfId="0" applyNumberFormat="1" applyFont="1" applyFill="1" applyBorder="1"/>
    <xf numFmtId="0" fontId="1" fillId="4" borderId="14" xfId="0" applyFont="1" applyFill="1" applyBorder="1" applyAlignment="1">
      <alignment wrapText="1"/>
    </xf>
    <xf numFmtId="0" fontId="1" fillId="4" borderId="36" xfId="0" applyFont="1" applyFill="1" applyBorder="1"/>
    <xf numFmtId="0" fontId="1" fillId="4" borderId="37" xfId="0" applyFont="1" applyFill="1" applyBorder="1"/>
    <xf numFmtId="0" fontId="1" fillId="4" borderId="44" xfId="0" applyFont="1" applyFill="1" applyBorder="1"/>
    <xf numFmtId="0" fontId="1" fillId="4" borderId="40" xfId="0" applyFont="1" applyFill="1" applyBorder="1"/>
    <xf numFmtId="0" fontId="0" fillId="4" borderId="40" xfId="0" applyFill="1" applyBorder="1"/>
    <xf numFmtId="3" fontId="1" fillId="4" borderId="40" xfId="0" applyNumberFormat="1" applyFont="1" applyFill="1" applyBorder="1"/>
    <xf numFmtId="3" fontId="1" fillId="4" borderId="40" xfId="0" applyNumberFormat="1" applyFont="1" applyFill="1" applyBorder="1" applyAlignment="1">
      <alignment horizontal="right"/>
    </xf>
    <xf numFmtId="3" fontId="1" fillId="4" borderId="6" xfId="0" applyNumberFormat="1" applyFont="1" applyFill="1" applyBorder="1" applyAlignment="1">
      <alignment horizontal="right"/>
    </xf>
    <xf numFmtId="0" fontId="1" fillId="4" borderId="27" xfId="0" applyFont="1" applyFill="1" applyBorder="1"/>
    <xf numFmtId="0" fontId="1" fillId="4" borderId="28" xfId="0" applyFont="1" applyFill="1" applyBorder="1"/>
    <xf numFmtId="0" fontId="1" fillId="4" borderId="38" xfId="0" applyFont="1" applyFill="1" applyBorder="1"/>
    <xf numFmtId="0" fontId="1" fillId="4" borderId="29" xfId="0" applyFont="1" applyFill="1" applyBorder="1"/>
    <xf numFmtId="0" fontId="1" fillId="4" borderId="30" xfId="0" applyFont="1" applyFill="1" applyBorder="1"/>
    <xf numFmtId="0" fontId="1" fillId="4" borderId="39" xfId="0" applyFont="1" applyFill="1" applyBorder="1"/>
    <xf numFmtId="0" fontId="1" fillId="4" borderId="31" xfId="0" applyFont="1" applyFill="1" applyBorder="1"/>
    <xf numFmtId="0" fontId="0" fillId="4" borderId="31" xfId="0" applyFill="1" applyBorder="1"/>
    <xf numFmtId="3" fontId="1" fillId="4" borderId="31" xfId="0" applyNumberFormat="1" applyFont="1" applyFill="1" applyBorder="1"/>
    <xf numFmtId="3" fontId="1" fillId="4" borderId="31" xfId="0" applyNumberFormat="1" applyFont="1" applyFill="1" applyBorder="1" applyAlignment="1">
      <alignment horizontal="right" vertical="center" wrapText="1"/>
    </xf>
    <xf numFmtId="3" fontId="1" fillId="4" borderId="9" xfId="0" applyNumberFormat="1" applyFont="1" applyFill="1" applyBorder="1" applyAlignment="1">
      <alignment horizontal="right" vertical="center" wrapText="1"/>
    </xf>
    <xf numFmtId="0" fontId="1" fillId="4" borderId="34" xfId="0" applyFont="1" applyFill="1" applyBorder="1"/>
    <xf numFmtId="3" fontId="1" fillId="4" borderId="34" xfId="0" applyNumberFormat="1" applyFont="1" applyFill="1" applyBorder="1"/>
    <xf numFmtId="3" fontId="1" fillId="4" borderId="34" xfId="0" applyNumberFormat="1" applyFont="1" applyFill="1" applyBorder="1" applyAlignment="1">
      <alignment horizontal="right"/>
    </xf>
    <xf numFmtId="3" fontId="1" fillId="4" borderId="35" xfId="0" applyNumberFormat="1" applyFont="1" applyFill="1" applyBorder="1" applyAlignment="1">
      <alignment horizontal="right"/>
    </xf>
    <xf numFmtId="0" fontId="1" fillId="4" borderId="6" xfId="0" applyFont="1" applyFill="1" applyBorder="1" applyAlignment="1">
      <alignment horizontal="center"/>
    </xf>
    <xf numFmtId="0" fontId="1" fillId="4" borderId="26" xfId="0" applyFont="1" applyFill="1" applyBorder="1" applyAlignment="1">
      <alignment horizontal="center"/>
    </xf>
    <xf numFmtId="0" fontId="1" fillId="4" borderId="33" xfId="0" applyFont="1" applyFill="1" applyBorder="1" applyAlignment="1">
      <alignment horizontal="center"/>
    </xf>
    <xf numFmtId="0" fontId="0" fillId="0" borderId="49" xfId="0" applyBorder="1"/>
    <xf numFmtId="0" fontId="1" fillId="0" borderId="50" xfId="0" applyFont="1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55" xfId="0" applyBorder="1" applyAlignment="1">
      <alignment horizontal="center"/>
    </xf>
    <xf numFmtId="0" fontId="1" fillId="0" borderId="53" xfId="0" applyFont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4" fillId="0" borderId="33" xfId="0" applyFont="1" applyBorder="1" applyAlignment="1">
      <alignment horizontal="center" wrapText="1"/>
    </xf>
    <xf numFmtId="0" fontId="4" fillId="0" borderId="33" xfId="0" applyFont="1" applyBorder="1" applyAlignment="1">
      <alignment horizontal="left" wrapText="1"/>
    </xf>
    <xf numFmtId="0" fontId="4" fillId="0" borderId="10" xfId="0" applyFont="1" applyBorder="1" applyAlignment="1">
      <alignment horizontal="left" wrapText="1"/>
    </xf>
    <xf numFmtId="0" fontId="4" fillId="0" borderId="32" xfId="0" applyFont="1" applyBorder="1"/>
    <xf numFmtId="0" fontId="4" fillId="0" borderId="10" xfId="0" applyFont="1" applyBorder="1"/>
    <xf numFmtId="0" fontId="4" fillId="0" borderId="6" xfId="0" applyFont="1" applyBorder="1" applyAlignment="1">
      <alignment horizontal="left"/>
    </xf>
    <xf numFmtId="0" fontId="4" fillId="0" borderId="26" xfId="0" applyFont="1" applyBorder="1"/>
    <xf numFmtId="0" fontId="4" fillId="0" borderId="33" xfId="0" applyFont="1" applyBorder="1"/>
    <xf numFmtId="0" fontId="4" fillId="0" borderId="32" xfId="0" applyFont="1" applyBorder="1" applyAlignment="1">
      <alignment horizontal="left"/>
    </xf>
    <xf numFmtId="0" fontId="4" fillId="0" borderId="0" xfId="0" applyFont="1"/>
    <xf numFmtId="0" fontId="1" fillId="4" borderId="13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4" borderId="16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2" fillId="5" borderId="16" xfId="0" applyFont="1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0" fillId="0" borderId="0" xfId="0" applyAlignment="1">
      <alignment horizontal="left" wrapText="1"/>
    </xf>
    <xf numFmtId="0" fontId="3" fillId="4" borderId="12" xfId="0" applyFont="1" applyFill="1" applyBorder="1" applyAlignment="1">
      <alignment horizontal="center" vertical="top" wrapText="1"/>
    </xf>
    <xf numFmtId="0" fontId="2" fillId="5" borderId="0" xfId="0" applyFont="1" applyFill="1" applyAlignment="1">
      <alignment horizontal="center" vertical="top" wrapText="1"/>
    </xf>
    <xf numFmtId="0" fontId="1" fillId="4" borderId="40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2" fillId="5" borderId="40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5" borderId="41" xfId="0" applyFont="1" applyFill="1" applyBorder="1" applyAlignment="1">
      <alignment horizontal="center"/>
    </xf>
    <xf numFmtId="0" fontId="2" fillId="5" borderId="42" xfId="0" applyFont="1" applyFill="1" applyBorder="1" applyAlignment="1">
      <alignment horizontal="center"/>
    </xf>
    <xf numFmtId="0" fontId="2" fillId="5" borderId="43" xfId="0" applyFont="1" applyFill="1" applyBorder="1" applyAlignment="1">
      <alignment horizontal="center"/>
    </xf>
    <xf numFmtId="0" fontId="2" fillId="5" borderId="32" xfId="0" applyFont="1" applyFill="1" applyBorder="1" applyAlignment="1">
      <alignment horizontal="center" vertical="center"/>
    </xf>
    <xf numFmtId="0" fontId="2" fillId="5" borderId="33" xfId="0" applyFont="1" applyFill="1" applyBorder="1" applyAlignment="1">
      <alignment horizontal="center" vertical="center"/>
    </xf>
    <xf numFmtId="0" fontId="1" fillId="4" borderId="41" xfId="0" applyFont="1" applyFill="1" applyBorder="1" applyAlignment="1">
      <alignment horizontal="center"/>
    </xf>
    <xf numFmtId="0" fontId="1" fillId="4" borderId="42" xfId="0" applyFont="1" applyFill="1" applyBorder="1" applyAlignment="1">
      <alignment horizontal="center"/>
    </xf>
    <xf numFmtId="0" fontId="1" fillId="4" borderId="43" xfId="0" applyFont="1" applyFill="1" applyBorder="1" applyAlignment="1">
      <alignment horizontal="center"/>
    </xf>
    <xf numFmtId="0" fontId="1" fillId="4" borderId="32" xfId="0" applyFont="1" applyFill="1" applyBorder="1" applyAlignment="1">
      <alignment horizontal="center" vertical="center"/>
    </xf>
    <xf numFmtId="0" fontId="1" fillId="4" borderId="33" xfId="0" applyFont="1" applyFill="1" applyBorder="1" applyAlignment="1">
      <alignment horizontal="center" vertical="center"/>
    </xf>
    <xf numFmtId="0" fontId="0" fillId="12" borderId="7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15" borderId="33" xfId="0" applyFill="1" applyBorder="1" applyAlignment="1">
      <alignment horizontal="center"/>
    </xf>
    <xf numFmtId="0" fontId="5" fillId="14" borderId="45" xfId="0" applyFont="1" applyFill="1" applyBorder="1" applyAlignment="1">
      <alignment horizontal="center" vertical="center" wrapText="1"/>
    </xf>
    <xf numFmtId="0" fontId="5" fillId="14" borderId="40" xfId="0" applyFont="1" applyFill="1" applyBorder="1" applyAlignment="1">
      <alignment horizontal="center" vertical="center" wrapText="1"/>
    </xf>
    <xf numFmtId="0" fontId="5" fillId="14" borderId="6" xfId="0" applyFont="1" applyFill="1" applyBorder="1" applyAlignment="1">
      <alignment horizontal="center" vertical="center" wrapText="1"/>
    </xf>
    <xf numFmtId="0" fontId="4" fillId="0" borderId="32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33" xfId="0" applyBorder="1" applyAlignment="1">
      <alignment horizontal="center"/>
    </xf>
    <xf numFmtId="0" fontId="4" fillId="0" borderId="3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2DCDA"/>
      <color rgb="FFFF89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PERCENTAGE OF EQUITY AND LIABILITIES FOR BONIA</a:t>
            </a:r>
          </a:p>
        </c:rich>
      </c:tx>
      <c:layout>
        <c:manualLayout>
          <c:xMode val="edge"/>
          <c:yMode val="edge"/>
          <c:x val="0.149699293600324"/>
          <c:y val="4.21722026537123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v>2022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0BD-45E1-A232-7450B02DE06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0BD-45E1-A232-7450B02DE064}"/>
              </c:ext>
            </c:extLst>
          </c:dPt>
          <c:dLbls>
            <c:dLbl>
              <c:idx val="0"/>
              <c:layout>
                <c:manualLayout>
                  <c:x val="9.3520781797970937E-3"/>
                  <c:y val="-5.1744812232062273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0BD-45E1-A232-7450B02DE064}"/>
                </c:ext>
              </c:extLst>
            </c:dLbl>
            <c:dLbl>
              <c:idx val="1"/>
              <c:layout>
                <c:manualLayout>
                  <c:x val="6.680230578343699E-4"/>
                  <c:y val="2.6474164281080775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0BD-45E1-A232-7450B02DE0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'Q4. Financing Type'!$B$33:$C$34</c:f>
              <c:multiLvlStrCache>
                <c:ptCount val="2"/>
                <c:lvl>
                  <c:pt idx="0">
                    <c:v>EQUITY</c:v>
                  </c:pt>
                  <c:pt idx="1">
                    <c:v>LIABILITIES</c:v>
                  </c:pt>
                </c:lvl>
                <c:lvl>
                  <c:pt idx="0">
                    <c:v>PERCENTAGE OF EACH (%)</c:v>
                  </c:pt>
                </c:lvl>
              </c:multiLvlStrCache>
            </c:multiLvlStrRef>
          </c:cat>
          <c:val>
            <c:numRef>
              <c:f>'Q4. Financing Type'!$B$35:$C$35</c:f>
              <c:numCache>
                <c:formatCode>0.00</c:formatCode>
                <c:ptCount val="2"/>
                <c:pt idx="0">
                  <c:v>65.554037347908121</c:v>
                </c:pt>
                <c:pt idx="1">
                  <c:v>34.445962652091872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1BA-4DDC-8BAE-F5C98A8A5F28}"/>
            </c:ext>
          </c:extLst>
        </c:ser>
        <c:ser>
          <c:idx val="1"/>
          <c:order val="1"/>
          <c:tx>
            <c:v>2023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0BD-45E1-A232-7450B02DE06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0BD-45E1-A232-7450B02DE064}"/>
              </c:ext>
            </c:extLst>
          </c:dPt>
          <c:dLbls>
            <c:dLbl>
              <c:idx val="1"/>
              <c:layout>
                <c:manualLayout>
                  <c:x val="6.0120648197436047E-3"/>
                  <c:y val="-1.6847098633987711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0BD-45E1-A232-7450B02DE0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'Q4. Financing Type'!$B$33:$C$34</c:f>
              <c:multiLvlStrCache>
                <c:ptCount val="2"/>
                <c:lvl>
                  <c:pt idx="0">
                    <c:v>EQUITY</c:v>
                  </c:pt>
                  <c:pt idx="1">
                    <c:v>LIABILITIES</c:v>
                  </c:pt>
                </c:lvl>
                <c:lvl>
                  <c:pt idx="0">
                    <c:v>PERCENTAGE OF EACH (%)</c:v>
                  </c:pt>
                </c:lvl>
              </c:multiLvlStrCache>
            </c:multiLvlStrRef>
          </c:cat>
          <c:val>
            <c:numRef>
              <c:f>'Q4. Financing Type'!$B$36:$C$36</c:f>
              <c:numCache>
                <c:formatCode>0.00</c:formatCode>
                <c:ptCount val="2"/>
                <c:pt idx="0">
                  <c:v>65.650694110221878</c:v>
                </c:pt>
                <c:pt idx="1">
                  <c:v>34.349305889778122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1BA-4DDC-8BAE-F5C98A8A5F28}"/>
            </c:ext>
          </c:extLst>
        </c:ser>
        <c:ser>
          <c:idx val="2"/>
          <c:order val="2"/>
          <c:tx>
            <c:v>2024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0BD-45E1-A232-7450B02DE06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0BD-45E1-A232-7450B02DE064}"/>
              </c:ext>
            </c:extLst>
          </c:dPt>
          <c:dLbls>
            <c:dLbl>
              <c:idx val="0"/>
              <c:layout>
                <c:manualLayout>
                  <c:x val="-8.0160320641283547E-3"/>
                  <c:y val="1.444043321299639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0BD-45E1-A232-7450B02DE064}"/>
                </c:ext>
              </c:extLst>
            </c:dLbl>
            <c:dLbl>
              <c:idx val="1"/>
              <c:layout>
                <c:manualLayout>
                  <c:x val="1.4696079170058867E-2"/>
                  <c:y val="-3.8507785177403026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0BD-45E1-A232-7450B02DE0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'Q4. Financing Type'!$B$33:$C$34</c:f>
              <c:multiLvlStrCache>
                <c:ptCount val="2"/>
                <c:lvl>
                  <c:pt idx="0">
                    <c:v>EQUITY</c:v>
                  </c:pt>
                  <c:pt idx="1">
                    <c:v>LIABILITIES</c:v>
                  </c:pt>
                </c:lvl>
                <c:lvl>
                  <c:pt idx="0">
                    <c:v>PERCENTAGE OF EACH (%)</c:v>
                  </c:pt>
                </c:lvl>
              </c:multiLvlStrCache>
            </c:multiLvlStrRef>
          </c:cat>
          <c:val>
            <c:numRef>
              <c:f>'Q4. Financing Type'!$B$37:$C$37</c:f>
              <c:numCache>
                <c:formatCode>0.00</c:formatCode>
                <c:ptCount val="2"/>
                <c:pt idx="0">
                  <c:v>67.639077245620442</c:v>
                </c:pt>
                <c:pt idx="1">
                  <c:v>32.360922754379558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1BA-4DDC-8BAE-F5C98A8A5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4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PERCENTAGE OF EQUITY AND LIABILITIES FOR PADINI</a:t>
            </a:r>
          </a:p>
        </c:rich>
      </c:tx>
      <c:layout>
        <c:manualLayout>
          <c:xMode val="edge"/>
          <c:yMode val="edge"/>
          <c:x val="0.10502777777777779"/>
          <c:y val="5.55555908768265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v>2022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D8B-4B2D-B59C-317463BA70B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D8B-4B2D-B59C-317463BA70B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'Q4. Financing Type'!$I$33:$J$34</c:f>
              <c:multiLvlStrCache>
                <c:ptCount val="2"/>
                <c:lvl>
                  <c:pt idx="0">
                    <c:v>EQUITY</c:v>
                  </c:pt>
                  <c:pt idx="1">
                    <c:v>LIABILITIES</c:v>
                  </c:pt>
                </c:lvl>
                <c:lvl>
                  <c:pt idx="0">
                    <c:v>PERCENTAGE OF EACH (%)</c:v>
                  </c:pt>
                </c:lvl>
              </c:multiLvlStrCache>
            </c:multiLvlStrRef>
          </c:cat>
          <c:val>
            <c:numRef>
              <c:f>'Q4. Financing Type'!$I$35:$J$35</c:f>
              <c:numCache>
                <c:formatCode>0.00</c:formatCode>
                <c:ptCount val="2"/>
                <c:pt idx="0">
                  <c:v>59.640663413275895</c:v>
                </c:pt>
                <c:pt idx="1">
                  <c:v>40.359336586724105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229-4FBB-BEC6-80C4C955228A}"/>
            </c:ext>
          </c:extLst>
        </c:ser>
        <c:ser>
          <c:idx val="1"/>
          <c:order val="1"/>
          <c:tx>
            <c:v>2023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468-45F5-AD47-73844DA990F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C468-45F5-AD47-73844DA990F8}"/>
              </c:ext>
            </c:extLst>
          </c:dPt>
          <c:dLbls>
            <c:dLbl>
              <c:idx val="0"/>
              <c:layout>
                <c:manualLayout>
                  <c:x val="-4.1666666666666666E-3"/>
                  <c:y val="1.7361111111111025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468-45F5-AD47-73844DA990F8}"/>
                </c:ext>
              </c:extLst>
            </c:dLbl>
            <c:dLbl>
              <c:idx val="1"/>
              <c:layout>
                <c:manualLayout>
                  <c:x val="1.5972264607747397E-2"/>
                  <c:y val="-3.1250000000000042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468-45F5-AD47-73844DA990F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'Q4. Financing Type'!$I$33:$J$34</c:f>
              <c:multiLvlStrCache>
                <c:ptCount val="2"/>
                <c:lvl>
                  <c:pt idx="0">
                    <c:v>EQUITY</c:v>
                  </c:pt>
                  <c:pt idx="1">
                    <c:v>LIABILITIES</c:v>
                  </c:pt>
                </c:lvl>
                <c:lvl>
                  <c:pt idx="0">
                    <c:v>PERCENTAGE OF EACH (%)</c:v>
                  </c:pt>
                </c:lvl>
              </c:multiLvlStrCache>
            </c:multiLvlStrRef>
          </c:cat>
          <c:val>
            <c:numRef>
              <c:f>'Q4. Financing Type'!$I$36:$J$36</c:f>
              <c:numCache>
                <c:formatCode>0.00</c:formatCode>
                <c:ptCount val="2"/>
                <c:pt idx="0">
                  <c:v>62.425793115617786</c:v>
                </c:pt>
                <c:pt idx="1">
                  <c:v>37.574206884382207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229-4FBB-BEC6-80C4C955228A}"/>
            </c:ext>
          </c:extLst>
        </c:ser>
        <c:ser>
          <c:idx val="2"/>
          <c:order val="2"/>
          <c:tx>
            <c:v>2024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468-45F5-AD47-73844DA990F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468-45F5-AD47-73844DA990F8}"/>
              </c:ext>
            </c:extLst>
          </c:dPt>
          <c:dLbls>
            <c:dLbl>
              <c:idx val="0"/>
              <c:layout>
                <c:manualLayout>
                  <c:x val="-1.5277756585015191E-2"/>
                  <c:y val="6.0185220506456166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468-45F5-AD47-73844DA990F8}"/>
                </c:ext>
              </c:extLst>
            </c:dLbl>
            <c:dLbl>
              <c:idx val="1"/>
              <c:layout>
                <c:manualLayout>
                  <c:x val="2.9861132303873699E-2"/>
                  <c:y val="-8.9120335049099386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468-45F5-AD47-73844DA990F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'Q4. Financing Type'!$I$33:$J$34</c:f>
              <c:multiLvlStrCache>
                <c:ptCount val="2"/>
                <c:lvl>
                  <c:pt idx="0">
                    <c:v>EQUITY</c:v>
                  </c:pt>
                  <c:pt idx="1">
                    <c:v>LIABILITIES</c:v>
                  </c:pt>
                </c:lvl>
                <c:lvl>
                  <c:pt idx="0">
                    <c:v>PERCENTAGE OF EACH (%)</c:v>
                  </c:pt>
                </c:lvl>
              </c:multiLvlStrCache>
            </c:multiLvlStrRef>
          </c:cat>
          <c:val>
            <c:numRef>
              <c:f>'Q4. Financing Type'!$I$37:$J$37</c:f>
              <c:numCache>
                <c:formatCode>0.00</c:formatCode>
                <c:ptCount val="2"/>
                <c:pt idx="0">
                  <c:v>60.741652676331526</c:v>
                </c:pt>
                <c:pt idx="1">
                  <c:v>39.258347323668474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229-4FBB-BEC6-80C4C95522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44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 panose="020F0502020204030204"/>
              </a:rPr>
              <a:t>Summary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'Q5. Compare &amp; Contrast'!$I$3:$I$4</c:f>
              <c:strCache>
                <c:ptCount val="2"/>
                <c:pt idx="0">
                  <c:v>Summary</c:v>
                </c:pt>
                <c:pt idx="1">
                  <c:v>Net Profit Margin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'Q5. Compare &amp; Contrast'!$G$5:$H$10</c:f>
              <c:multiLvlStrCache>
                <c:ptCount val="6"/>
                <c:lvl>
                  <c:pt idx="0">
                    <c:v>Padini</c:v>
                  </c:pt>
                  <c:pt idx="1">
                    <c:v>Bonia</c:v>
                  </c:pt>
                  <c:pt idx="2">
                    <c:v>Padini</c:v>
                  </c:pt>
                  <c:pt idx="3">
                    <c:v>Bonia</c:v>
                  </c:pt>
                  <c:pt idx="4">
                    <c:v>Padini</c:v>
                  </c:pt>
                  <c:pt idx="5">
                    <c:v>Bonia</c:v>
                  </c:pt>
                </c:lvl>
                <c:lvl>
                  <c:pt idx="0">
                    <c:v>2022</c:v>
                  </c:pt>
                  <c:pt idx="2">
                    <c:v>2023</c:v>
                  </c:pt>
                  <c:pt idx="4">
                    <c:v>2024</c:v>
                  </c:pt>
                </c:lvl>
              </c:multiLvlStrCache>
            </c:multiLvlStrRef>
          </c:cat>
          <c:val>
            <c:numRef>
              <c:f>'Q5. Compare &amp; Contrast'!$I$5:$I$10</c:f>
              <c:numCache>
                <c:formatCode>General</c:formatCode>
                <c:ptCount val="6"/>
                <c:pt idx="0">
                  <c:v>11.68</c:v>
                </c:pt>
                <c:pt idx="1">
                  <c:v>13.26</c:v>
                </c:pt>
                <c:pt idx="2">
                  <c:v>12.22</c:v>
                </c:pt>
                <c:pt idx="3">
                  <c:v>14.76</c:v>
                </c:pt>
                <c:pt idx="4">
                  <c:v>35.44</c:v>
                </c:pt>
                <c:pt idx="5">
                  <c:v>9.65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19-4179-8798-6A77F6660535}"/>
            </c:ext>
          </c:extLst>
        </c:ser>
        <c:ser>
          <c:idx val="1"/>
          <c:order val="1"/>
          <c:tx>
            <c:strRef>
              <c:f>'Q5. Compare &amp; Contrast'!$J$3:$J$4</c:f>
              <c:strCache>
                <c:ptCount val="2"/>
                <c:pt idx="0">
                  <c:v>Summary</c:v>
                </c:pt>
                <c:pt idx="1">
                  <c:v>Current Ratio (RM'000)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'Q5. Compare &amp; Contrast'!$G$5:$H$10</c:f>
              <c:multiLvlStrCache>
                <c:ptCount val="6"/>
                <c:lvl>
                  <c:pt idx="0">
                    <c:v>Padini</c:v>
                  </c:pt>
                  <c:pt idx="1">
                    <c:v>Bonia</c:v>
                  </c:pt>
                  <c:pt idx="2">
                    <c:v>Padini</c:v>
                  </c:pt>
                  <c:pt idx="3">
                    <c:v>Bonia</c:v>
                  </c:pt>
                  <c:pt idx="4">
                    <c:v>Padini</c:v>
                  </c:pt>
                  <c:pt idx="5">
                    <c:v>Bonia</c:v>
                  </c:pt>
                </c:lvl>
                <c:lvl>
                  <c:pt idx="0">
                    <c:v>2022</c:v>
                  </c:pt>
                  <c:pt idx="2">
                    <c:v>2023</c:v>
                  </c:pt>
                  <c:pt idx="4">
                    <c:v>2024</c:v>
                  </c:pt>
                </c:lvl>
              </c:multiLvlStrCache>
            </c:multiLvlStrRef>
          </c:cat>
          <c:val>
            <c:numRef>
              <c:f>'Q5. Compare &amp; Contrast'!$J$5:$J$10</c:f>
              <c:numCache>
                <c:formatCode>General</c:formatCode>
                <c:ptCount val="6"/>
                <c:pt idx="0">
                  <c:v>3.62</c:v>
                </c:pt>
                <c:pt idx="1">
                  <c:v>2.76</c:v>
                </c:pt>
                <c:pt idx="2">
                  <c:v>4.47</c:v>
                </c:pt>
                <c:pt idx="3" formatCode="0.00">
                  <c:v>2.8</c:v>
                </c:pt>
                <c:pt idx="4">
                  <c:v>4.2699999999999996</c:v>
                </c:pt>
                <c:pt idx="5">
                  <c:v>3.11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19-4179-8798-6A77F6660535}"/>
            </c:ext>
          </c:extLst>
        </c:ser>
        <c:ser>
          <c:idx val="2"/>
          <c:order val="2"/>
          <c:tx>
            <c:strRef>
              <c:f>'Q5. Compare &amp; Contrast'!$K$3:$K$4</c:f>
              <c:strCache>
                <c:ptCount val="2"/>
                <c:pt idx="0">
                  <c:v>Summary</c:v>
                </c:pt>
                <c:pt idx="1">
                  <c:v>Debt-to-Equity Ratio</c:v>
                </c:pt>
              </c:strCache>
            </c:strRef>
          </c:tx>
          <c:spPr>
            <a:solidFill>
              <a:srgbClr val="375623"/>
            </a:solidFill>
            <a:ln>
              <a:noFill/>
            </a:ln>
            <a:effectLst/>
          </c:spPr>
          <c:invertIfNegative val="0"/>
          <c:cat>
            <c:multiLvlStrRef>
              <c:f>'Q5. Compare &amp; Contrast'!$G$5:$H$10</c:f>
              <c:multiLvlStrCache>
                <c:ptCount val="6"/>
                <c:lvl>
                  <c:pt idx="0">
                    <c:v>Padini</c:v>
                  </c:pt>
                  <c:pt idx="1">
                    <c:v>Bonia</c:v>
                  </c:pt>
                  <c:pt idx="2">
                    <c:v>Padini</c:v>
                  </c:pt>
                  <c:pt idx="3">
                    <c:v>Bonia</c:v>
                  </c:pt>
                  <c:pt idx="4">
                    <c:v>Padini</c:v>
                  </c:pt>
                  <c:pt idx="5">
                    <c:v>Bonia</c:v>
                  </c:pt>
                </c:lvl>
                <c:lvl>
                  <c:pt idx="0">
                    <c:v>2022</c:v>
                  </c:pt>
                  <c:pt idx="2">
                    <c:v>2023</c:v>
                  </c:pt>
                  <c:pt idx="4">
                    <c:v>2024</c:v>
                  </c:pt>
                </c:lvl>
              </c:multiLvlStrCache>
            </c:multiLvlStrRef>
          </c:cat>
          <c:val>
            <c:numRef>
              <c:f>'Q5. Compare &amp; Contrast'!$K$5:$K$10</c:f>
              <c:numCache>
                <c:formatCode>0.00</c:formatCode>
                <c:ptCount val="6"/>
                <c:pt idx="0" formatCode="General">
                  <c:v>0.68</c:v>
                </c:pt>
                <c:pt idx="1">
                  <c:v>0.5</c:v>
                </c:pt>
                <c:pt idx="2">
                  <c:v>0.6</c:v>
                </c:pt>
                <c:pt idx="3" formatCode="General">
                  <c:v>0.52</c:v>
                </c:pt>
                <c:pt idx="4" formatCode="General">
                  <c:v>0.65</c:v>
                </c:pt>
                <c:pt idx="5" formatCode="General">
                  <c:v>0.48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19-4179-8798-6A77F66605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1753095"/>
        <c:axId val="41763335"/>
      </c:barChart>
      <c:catAx>
        <c:axId val="41753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63335"/>
        <c:crosses val="autoZero"/>
        <c:auto val="1"/>
        <c:lblAlgn val="ctr"/>
        <c:lblOffset val="100"/>
        <c:noMultiLvlLbl val="0"/>
      </c:catAx>
      <c:valAx>
        <c:axId val="41763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53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76200</xdr:rowOff>
    </xdr:from>
    <xdr:to>
      <xdr:col>3</xdr:col>
      <xdr:colOff>161925</xdr:colOff>
      <xdr:row>51</xdr:row>
      <xdr:rowOff>47625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7C2AFA1F-A0F9-EA76-4613-C75C1793E4ED}"/>
            </a:ext>
            <a:ext uri="{147F2762-F138-4A5C-976F-8EAC2B608ADB}">
              <a16:predDERef xmlns:a16="http://schemas.microsoft.com/office/drawing/2014/main" pred="{96F42809-6D6A-CC7A-2321-40FD1AA45A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37</xdr:row>
      <xdr:rowOff>180975</xdr:rowOff>
    </xdr:from>
    <xdr:to>
      <xdr:col>10</xdr:col>
      <xdr:colOff>876300</xdr:colOff>
      <xdr:row>51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8F86B5A-9783-2179-FC36-89B4F58526A0}"/>
            </a:ext>
            <a:ext uri="{147F2762-F138-4A5C-976F-8EAC2B608ADB}">
              <a16:predDERef xmlns:a16="http://schemas.microsoft.com/office/drawing/2014/main" pred="{7C2AFA1F-A0F9-EA76-4613-C75C1793E4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219075</xdr:colOff>
      <xdr:row>11</xdr:row>
      <xdr:rowOff>85725</xdr:rowOff>
    </xdr:from>
    <xdr:to>
      <xdr:col>10</xdr:col>
      <xdr:colOff>742950</xdr:colOff>
      <xdr:row>26</xdr:row>
      <xdr:rowOff>47625</xdr:rowOff>
    </xdr:to>
    <xdr:graphicFrame macro="">
      <xdr:nvGraphicFramePr>
        <xdr:cNvPr id="121" name="Chart 35">
          <a:extLst>
            <a:ext uri="{FF2B5EF4-FFF2-40B4-BE49-F238E27FC236}">
              <a16:creationId xmlns:a16="http://schemas.microsoft.com/office/drawing/2014/main" id="{35CD6DDA-11F4-A56B-050F-0417BD8EFD68}"/>
            </a:ext>
            <a:ext uri="{147F2762-F138-4A5C-976F-8EAC2B608ADB}">
              <a16:predDERef xmlns:a16="http://schemas.microsoft.com/office/drawing/2014/main" pred="{6CAA0E95-71D2-04E8-2EAB-96994CAEFD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51294-A398-4890-965C-2B10EE91D209}">
  <dimension ref="A1:C9"/>
  <sheetViews>
    <sheetView workbookViewId="0">
      <selection activeCell="H7" sqref="H7"/>
    </sheetView>
  </sheetViews>
  <sheetFormatPr defaultRowHeight="14.4" x14ac:dyDescent="0.3"/>
  <cols>
    <col min="1" max="1" width="7.5546875" customWidth="1"/>
    <col min="2" max="2" width="40.5546875" customWidth="1"/>
    <col min="3" max="3" width="16" customWidth="1"/>
  </cols>
  <sheetData>
    <row r="1" spans="1:3" x14ac:dyDescent="0.3">
      <c r="A1" s="205" t="s">
        <v>0</v>
      </c>
      <c r="B1" s="205" t="s">
        <v>1</v>
      </c>
      <c r="C1" s="212" t="s">
        <v>2</v>
      </c>
    </row>
    <row r="2" spans="1:3" x14ac:dyDescent="0.3">
      <c r="A2" s="208">
        <v>1</v>
      </c>
      <c r="B2" s="208" t="s">
        <v>3</v>
      </c>
      <c r="C2" s="209" t="s">
        <v>4</v>
      </c>
    </row>
    <row r="3" spans="1:3" x14ac:dyDescent="0.3">
      <c r="A3" s="206">
        <f>A2+1</f>
        <v>2</v>
      </c>
      <c r="B3" s="206" t="s">
        <v>5</v>
      </c>
      <c r="C3" s="207" t="s">
        <v>6</v>
      </c>
    </row>
    <row r="4" spans="1:3" x14ac:dyDescent="0.3">
      <c r="A4" s="210">
        <f t="shared" ref="A4:A9" si="0">A3+1</f>
        <v>3</v>
      </c>
      <c r="B4" s="210" t="s">
        <v>7</v>
      </c>
      <c r="C4" s="211" t="s">
        <v>8</v>
      </c>
    </row>
    <row r="5" spans="1:3" x14ac:dyDescent="0.3">
      <c r="A5" s="208">
        <f t="shared" si="0"/>
        <v>4</v>
      </c>
      <c r="B5" s="208" t="s">
        <v>9</v>
      </c>
      <c r="C5" s="209" t="s">
        <v>10</v>
      </c>
    </row>
    <row r="6" spans="1:3" x14ac:dyDescent="0.3">
      <c r="A6" s="210">
        <f t="shared" si="0"/>
        <v>5</v>
      </c>
      <c r="B6" s="210" t="s">
        <v>11</v>
      </c>
      <c r="C6" s="211" t="s">
        <v>12</v>
      </c>
    </row>
    <row r="7" spans="1:3" x14ac:dyDescent="0.3">
      <c r="A7" s="208">
        <f t="shared" si="0"/>
        <v>6</v>
      </c>
      <c r="B7" s="208" t="s">
        <v>13</v>
      </c>
      <c r="C7" s="209" t="s">
        <v>14</v>
      </c>
    </row>
    <row r="8" spans="1:3" x14ac:dyDescent="0.3">
      <c r="A8" s="208">
        <f t="shared" si="0"/>
        <v>7</v>
      </c>
      <c r="B8" s="208" t="s">
        <v>15</v>
      </c>
      <c r="C8" s="209" t="s">
        <v>16</v>
      </c>
    </row>
    <row r="9" spans="1:3" x14ac:dyDescent="0.3">
      <c r="A9" s="206">
        <f t="shared" si="0"/>
        <v>8</v>
      </c>
      <c r="B9" s="206" t="s">
        <v>17</v>
      </c>
      <c r="C9" s="207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351AE-7126-42DD-BEB2-6BEBD6AF3091}">
  <dimension ref="A2:G43"/>
  <sheetViews>
    <sheetView zoomScale="87" workbookViewId="0">
      <selection activeCell="E49" sqref="E49"/>
    </sheetView>
  </sheetViews>
  <sheetFormatPr defaultRowHeight="14.4" x14ac:dyDescent="0.3"/>
  <cols>
    <col min="1" max="1" width="29.6640625" customWidth="1"/>
    <col min="2" max="2" width="14" customWidth="1"/>
    <col min="3" max="3" width="13.44140625" customWidth="1"/>
    <col min="4" max="4" width="13" customWidth="1"/>
    <col min="5" max="5" width="26.44140625" customWidth="1"/>
    <col min="6" max="6" width="30" customWidth="1"/>
    <col min="7" max="7" width="41.5546875" customWidth="1"/>
    <col min="8" max="8" width="14.109375" customWidth="1"/>
    <col min="9" max="9" width="11.88671875" customWidth="1"/>
  </cols>
  <sheetData>
    <row r="2" spans="1:7" ht="34.5" customHeight="1" x14ac:dyDescent="0.3">
      <c r="A2" s="173"/>
      <c r="B2" s="174" t="s">
        <v>19</v>
      </c>
      <c r="C2" s="174" t="s">
        <v>20</v>
      </c>
      <c r="D2" s="177" t="s">
        <v>21</v>
      </c>
      <c r="F2" s="225" t="s">
        <v>22</v>
      </c>
      <c r="G2" s="226"/>
    </row>
    <row r="3" spans="1:7" x14ac:dyDescent="0.3">
      <c r="A3" s="87" t="s">
        <v>23</v>
      </c>
      <c r="B3" s="91">
        <v>369257</v>
      </c>
      <c r="C3" s="91">
        <v>424148</v>
      </c>
      <c r="D3" s="88">
        <v>413665</v>
      </c>
      <c r="F3" s="227" t="s">
        <v>24</v>
      </c>
      <c r="G3" s="228"/>
    </row>
    <row r="4" spans="1:7" x14ac:dyDescent="0.3">
      <c r="A4" s="84" t="s">
        <v>25</v>
      </c>
      <c r="B4" s="92">
        <v>-154199</v>
      </c>
      <c r="C4" s="92">
        <v>-164767</v>
      </c>
      <c r="D4" s="89">
        <v>-162166</v>
      </c>
      <c r="F4" s="87" t="s">
        <v>24</v>
      </c>
      <c r="G4" s="82" t="s">
        <v>26</v>
      </c>
    </row>
    <row r="5" spans="1:7" x14ac:dyDescent="0.3">
      <c r="A5" s="87" t="s">
        <v>27</v>
      </c>
      <c r="B5" s="91">
        <f>SUM(B3:B4)</f>
        <v>215058</v>
      </c>
      <c r="C5" s="91">
        <f>SUM(C3:C4)</f>
        <v>259381</v>
      </c>
      <c r="D5" s="88">
        <f>SUM(D3:D4)</f>
        <v>251499</v>
      </c>
      <c r="F5" s="55"/>
      <c r="G5" s="82" t="s">
        <v>28</v>
      </c>
    </row>
    <row r="6" spans="1:7" ht="28.8" x14ac:dyDescent="0.3">
      <c r="A6" s="55" t="s">
        <v>29</v>
      </c>
      <c r="B6" s="93">
        <v>24349</v>
      </c>
      <c r="C6" s="93">
        <v>9955</v>
      </c>
      <c r="D6" s="8">
        <v>7942</v>
      </c>
      <c r="F6" s="84"/>
      <c r="G6" s="48" t="s">
        <v>30</v>
      </c>
    </row>
    <row r="7" spans="1:7" x14ac:dyDescent="0.3">
      <c r="A7" s="55" t="s">
        <v>31</v>
      </c>
      <c r="B7" s="93">
        <v>-98240</v>
      </c>
      <c r="C7" s="93">
        <v>-113837</v>
      </c>
      <c r="D7" s="8">
        <v>-124028</v>
      </c>
    </row>
    <row r="8" spans="1:7" x14ac:dyDescent="0.3">
      <c r="A8" s="55" t="s">
        <v>32</v>
      </c>
      <c r="B8" s="93">
        <v>-73833</v>
      </c>
      <c r="C8" s="93">
        <v>-69721</v>
      </c>
      <c r="D8" s="8">
        <v>-75282</v>
      </c>
    </row>
    <row r="9" spans="1:7" ht="28.8" x14ac:dyDescent="0.3">
      <c r="A9" s="90" t="s">
        <v>33</v>
      </c>
      <c r="B9" s="92">
        <v>256</v>
      </c>
      <c r="C9" s="92">
        <v>786</v>
      </c>
      <c r="D9" s="89">
        <v>448</v>
      </c>
    </row>
    <row r="10" spans="1:7" x14ac:dyDescent="0.3">
      <c r="A10" s="87" t="s">
        <v>34</v>
      </c>
      <c r="B10" s="91">
        <f>SUM(B5:B9)</f>
        <v>67590</v>
      </c>
      <c r="C10" s="91">
        <f>SUM(C5:C9)</f>
        <v>86564</v>
      </c>
      <c r="D10" s="91">
        <f>SUM(D5:D9)</f>
        <v>60579</v>
      </c>
    </row>
    <row r="11" spans="1:7" x14ac:dyDescent="0.3">
      <c r="A11" s="84" t="s">
        <v>35</v>
      </c>
      <c r="B11" s="92">
        <v>-5208</v>
      </c>
      <c r="C11" s="92">
        <v>-6603</v>
      </c>
      <c r="D11" s="89">
        <v>-7694</v>
      </c>
    </row>
    <row r="12" spans="1:7" x14ac:dyDescent="0.3">
      <c r="A12" s="87" t="s">
        <v>36</v>
      </c>
      <c r="B12" s="91">
        <f>SUM(B10:B11)</f>
        <v>62382</v>
      </c>
      <c r="C12" s="91">
        <f>SUM(C10:C11)</f>
        <v>79961</v>
      </c>
      <c r="D12" s="91">
        <f>SUM(D10:D11)</f>
        <v>52885</v>
      </c>
    </row>
    <row r="13" spans="1:7" x14ac:dyDescent="0.3">
      <c r="A13" s="84" t="s">
        <v>37</v>
      </c>
      <c r="B13" s="92">
        <v>-9821</v>
      </c>
      <c r="C13" s="92">
        <v>-17366</v>
      </c>
      <c r="D13" s="89">
        <v>-12961</v>
      </c>
    </row>
    <row r="14" spans="1:7" x14ac:dyDescent="0.3">
      <c r="A14" s="175" t="s">
        <v>38</v>
      </c>
      <c r="B14" s="176">
        <f>SUM(B12:B13)</f>
        <v>52561</v>
      </c>
      <c r="C14" s="176">
        <f>SUM(C12:C13)</f>
        <v>62595</v>
      </c>
      <c r="D14" s="176">
        <f>SUM(D12:D13)</f>
        <v>39924</v>
      </c>
      <c r="E14" s="4"/>
    </row>
    <row r="15" spans="1:7" x14ac:dyDescent="0.3">
      <c r="B15" s="4"/>
    </row>
    <row r="16" spans="1:7" ht="28.8" x14ac:dyDescent="0.3">
      <c r="A16" s="173"/>
      <c r="B16" s="174" t="s">
        <v>19</v>
      </c>
      <c r="C16" s="174" t="s">
        <v>20</v>
      </c>
      <c r="D16" s="174" t="s">
        <v>39</v>
      </c>
    </row>
    <row r="17" spans="1:4" x14ac:dyDescent="0.3">
      <c r="A17" s="87" t="s">
        <v>23</v>
      </c>
      <c r="B17" s="91">
        <v>369257</v>
      </c>
      <c r="C17" s="91">
        <v>424148</v>
      </c>
      <c r="D17" s="87">
        <f>(C17-B17)/B17 *100</f>
        <v>14.86525644740655</v>
      </c>
    </row>
    <row r="18" spans="1:4" x14ac:dyDescent="0.3">
      <c r="A18" s="84" t="s">
        <v>25</v>
      </c>
      <c r="B18" s="92">
        <v>-154199</v>
      </c>
      <c r="C18" s="92">
        <v>-164767</v>
      </c>
      <c r="D18" s="84">
        <f t="shared" ref="D18:D28" si="0">(C18-B18)/B18 *100</f>
        <v>6.8534815400878077</v>
      </c>
    </row>
    <row r="19" spans="1:4" x14ac:dyDescent="0.3">
      <c r="A19" s="87" t="s">
        <v>27</v>
      </c>
      <c r="B19" s="91">
        <f>SUM(B17:B18)</f>
        <v>215058</v>
      </c>
      <c r="C19" s="91">
        <f>SUM(C17:C18)</f>
        <v>259381</v>
      </c>
      <c r="D19" s="87">
        <f t="shared" si="0"/>
        <v>20.609788987156954</v>
      </c>
    </row>
    <row r="20" spans="1:4" x14ac:dyDescent="0.3">
      <c r="A20" s="55" t="s">
        <v>29</v>
      </c>
      <c r="B20" s="93">
        <v>24349</v>
      </c>
      <c r="C20" s="93">
        <v>9955</v>
      </c>
      <c r="D20" s="55">
        <f t="shared" si="0"/>
        <v>-59.115364080660392</v>
      </c>
    </row>
    <row r="21" spans="1:4" x14ac:dyDescent="0.3">
      <c r="A21" s="55" t="s">
        <v>31</v>
      </c>
      <c r="B21" s="93">
        <v>-98240</v>
      </c>
      <c r="C21" s="93">
        <v>-113837</v>
      </c>
      <c r="D21" s="55">
        <f t="shared" si="0"/>
        <v>15.876425081433224</v>
      </c>
    </row>
    <row r="22" spans="1:4" x14ac:dyDescent="0.3">
      <c r="A22" s="55" t="s">
        <v>32</v>
      </c>
      <c r="B22" s="93">
        <v>-73833</v>
      </c>
      <c r="C22" s="93">
        <v>-69721</v>
      </c>
      <c r="D22" s="55">
        <f t="shared" si="0"/>
        <v>-5.5693253694147602</v>
      </c>
    </row>
    <row r="23" spans="1:4" ht="33" customHeight="1" x14ac:dyDescent="0.3">
      <c r="A23" s="90" t="s">
        <v>33</v>
      </c>
      <c r="B23" s="92">
        <v>256</v>
      </c>
      <c r="C23" s="92">
        <v>786</v>
      </c>
      <c r="D23" s="84">
        <f t="shared" si="0"/>
        <v>207.03125</v>
      </c>
    </row>
    <row r="24" spans="1:4" x14ac:dyDescent="0.3">
      <c r="A24" s="87" t="s">
        <v>34</v>
      </c>
      <c r="B24" s="91">
        <f>SUM(B19:B23)</f>
        <v>67590</v>
      </c>
      <c r="C24" s="91">
        <f>SUM(C19:C23)</f>
        <v>86564</v>
      </c>
      <c r="D24" s="87">
        <f>(C24-B24)/B24 *100</f>
        <v>28.072200029590178</v>
      </c>
    </row>
    <row r="25" spans="1:4" x14ac:dyDescent="0.3">
      <c r="A25" s="84" t="s">
        <v>35</v>
      </c>
      <c r="B25" s="92">
        <v>-5208</v>
      </c>
      <c r="C25" s="92">
        <v>-6603</v>
      </c>
      <c r="D25" s="87">
        <f t="shared" si="0"/>
        <v>26.785714285714285</v>
      </c>
    </row>
    <row r="26" spans="1:4" x14ac:dyDescent="0.3">
      <c r="A26" s="87" t="s">
        <v>36</v>
      </c>
      <c r="B26" s="91">
        <f>SUM(B24:B25)</f>
        <v>62382</v>
      </c>
      <c r="C26" s="91">
        <f>SUM(C24:C25)</f>
        <v>79961</v>
      </c>
      <c r="D26" s="87">
        <f>(C26-B26)/B26 *100</f>
        <v>28.179603090635119</v>
      </c>
    </row>
    <row r="27" spans="1:4" x14ac:dyDescent="0.3">
      <c r="A27" s="84" t="s">
        <v>37</v>
      </c>
      <c r="B27" s="92">
        <v>-9821</v>
      </c>
      <c r="C27" s="92">
        <v>-17366</v>
      </c>
      <c r="D27" s="84">
        <f t="shared" si="0"/>
        <v>76.82517055289685</v>
      </c>
    </row>
    <row r="28" spans="1:4" x14ac:dyDescent="0.3">
      <c r="A28" s="175" t="s">
        <v>38</v>
      </c>
      <c r="B28" s="176">
        <f>SUM(B26:B27)</f>
        <v>52561</v>
      </c>
      <c r="C28" s="176">
        <f>SUM(C26:C27)</f>
        <v>62595</v>
      </c>
      <c r="D28" s="175">
        <f t="shared" si="0"/>
        <v>19.09019995814387</v>
      </c>
    </row>
    <row r="31" spans="1:4" ht="28.8" x14ac:dyDescent="0.3">
      <c r="A31" s="173"/>
      <c r="B31" s="174" t="s">
        <v>20</v>
      </c>
      <c r="C31" s="177" t="s">
        <v>21</v>
      </c>
      <c r="D31" s="174" t="s">
        <v>39</v>
      </c>
    </row>
    <row r="32" spans="1:4" x14ac:dyDescent="0.3">
      <c r="A32" s="87" t="s">
        <v>23</v>
      </c>
      <c r="B32" s="91">
        <v>424148</v>
      </c>
      <c r="C32" s="88">
        <v>413665</v>
      </c>
      <c r="D32" s="87">
        <f>(C32-B32)/B32 *100</f>
        <v>-2.4715429519884569</v>
      </c>
    </row>
    <row r="33" spans="1:4" x14ac:dyDescent="0.3">
      <c r="A33" s="84" t="s">
        <v>25</v>
      </c>
      <c r="B33" s="92">
        <v>-164767</v>
      </c>
      <c r="C33" s="89">
        <v>-162166</v>
      </c>
      <c r="D33" s="84">
        <f t="shared" ref="D33:D43" si="1">(C33-B33)/B33 *100</f>
        <v>-1.5785928007428673</v>
      </c>
    </row>
    <row r="34" spans="1:4" x14ac:dyDescent="0.3">
      <c r="A34" s="87" t="s">
        <v>27</v>
      </c>
      <c r="B34" s="91">
        <f>SUM(B32:B33)</f>
        <v>259381</v>
      </c>
      <c r="C34" s="88">
        <f>SUM(C32:C33)</f>
        <v>251499</v>
      </c>
      <c r="D34" s="87">
        <f t="shared" si="1"/>
        <v>-3.0387730789841969</v>
      </c>
    </row>
    <row r="35" spans="1:4" x14ac:dyDescent="0.3">
      <c r="A35" s="55" t="s">
        <v>29</v>
      </c>
      <c r="B35" s="93">
        <v>9955</v>
      </c>
      <c r="C35" s="8">
        <v>7942</v>
      </c>
      <c r="D35" s="55">
        <f t="shared" si="1"/>
        <v>-20.22099447513812</v>
      </c>
    </row>
    <row r="36" spans="1:4" x14ac:dyDescent="0.3">
      <c r="A36" s="55" t="s">
        <v>31</v>
      </c>
      <c r="B36" s="93">
        <v>-113837</v>
      </c>
      <c r="C36" s="8">
        <v>-124028</v>
      </c>
      <c r="D36" s="55">
        <f t="shared" si="1"/>
        <v>8.952273865263491</v>
      </c>
    </row>
    <row r="37" spans="1:4" x14ac:dyDescent="0.3">
      <c r="A37" s="55" t="s">
        <v>32</v>
      </c>
      <c r="B37" s="93">
        <v>-69721</v>
      </c>
      <c r="C37" s="8">
        <v>-75282</v>
      </c>
      <c r="D37" s="55">
        <f t="shared" si="1"/>
        <v>7.9760760746403525</v>
      </c>
    </row>
    <row r="38" spans="1:4" ht="28.8" x14ac:dyDescent="0.3">
      <c r="A38" s="90" t="s">
        <v>33</v>
      </c>
      <c r="B38" s="92">
        <v>786</v>
      </c>
      <c r="C38" s="89">
        <v>448</v>
      </c>
      <c r="D38" s="84">
        <f t="shared" si="1"/>
        <v>-43.002544529262089</v>
      </c>
    </row>
    <row r="39" spans="1:4" x14ac:dyDescent="0.3">
      <c r="A39" s="87" t="s">
        <v>34</v>
      </c>
      <c r="B39" s="91">
        <f>SUM(B34:B38)</f>
        <v>86564</v>
      </c>
      <c r="C39" s="91">
        <f>SUM(C34:C38)</f>
        <v>60579</v>
      </c>
      <c r="D39" s="87">
        <f>(C39-B39)/B39 *100</f>
        <v>-30.018252391294304</v>
      </c>
    </row>
    <row r="40" spans="1:4" x14ac:dyDescent="0.3">
      <c r="A40" s="84" t="s">
        <v>35</v>
      </c>
      <c r="B40" s="92">
        <v>-6603</v>
      </c>
      <c r="C40" s="89">
        <v>-7694</v>
      </c>
      <c r="D40" s="87">
        <f t="shared" si="1"/>
        <v>16.522792669998484</v>
      </c>
    </row>
    <row r="41" spans="1:4" x14ac:dyDescent="0.3">
      <c r="A41" s="87" t="s">
        <v>36</v>
      </c>
      <c r="B41" s="91">
        <f>SUM(B39:B40)</f>
        <v>79961</v>
      </c>
      <c r="C41" s="91">
        <f>SUM(C39:C40)</f>
        <v>52885</v>
      </c>
      <c r="D41" s="87">
        <f>(C41-B41)/B41 *100</f>
        <v>-33.861507484898887</v>
      </c>
    </row>
    <row r="42" spans="1:4" x14ac:dyDescent="0.3">
      <c r="A42" s="84" t="s">
        <v>37</v>
      </c>
      <c r="B42" s="92">
        <v>-17366</v>
      </c>
      <c r="C42" s="89">
        <v>-12961</v>
      </c>
      <c r="D42" s="84">
        <f t="shared" si="1"/>
        <v>-25.365657030980078</v>
      </c>
    </row>
    <row r="43" spans="1:4" x14ac:dyDescent="0.3">
      <c r="A43" s="175" t="s">
        <v>38</v>
      </c>
      <c r="B43" s="176">
        <f>SUM(B41:B42)</f>
        <v>62595</v>
      </c>
      <c r="C43" s="176">
        <f>SUM(C41:C42)</f>
        <v>39924</v>
      </c>
      <c r="D43" s="175">
        <f t="shared" si="1"/>
        <v>-36.218547807332854</v>
      </c>
    </row>
  </sheetData>
  <mergeCells count="2">
    <mergeCell ref="F2:G2"/>
    <mergeCell ref="F3:G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F466E-9C60-44C4-AA44-4C305C0CAB72}">
  <dimension ref="A2:H41"/>
  <sheetViews>
    <sheetView workbookViewId="0">
      <selection activeCell="H6" sqref="H6"/>
    </sheetView>
  </sheetViews>
  <sheetFormatPr defaultRowHeight="14.4" x14ac:dyDescent="0.3"/>
  <cols>
    <col min="1" max="1" width="31" customWidth="1"/>
    <col min="2" max="2" width="12" customWidth="1"/>
    <col min="3" max="3" width="12.44140625" customWidth="1"/>
    <col min="4" max="4" width="12.109375" customWidth="1"/>
    <col min="7" max="7" width="29.33203125" customWidth="1"/>
    <col min="8" max="8" width="65.5546875" customWidth="1"/>
    <col min="9" max="9" width="15.44140625" customWidth="1"/>
    <col min="10" max="10" width="16.5546875" customWidth="1"/>
  </cols>
  <sheetData>
    <row r="2" spans="1:8" x14ac:dyDescent="0.3">
      <c r="G2" s="231" t="s">
        <v>40</v>
      </c>
      <c r="H2" s="232"/>
    </row>
    <row r="3" spans="1:8" ht="28.8" x14ac:dyDescent="0.3">
      <c r="A3" s="136"/>
      <c r="B3" s="137" t="s">
        <v>19</v>
      </c>
      <c r="C3" s="137" t="s">
        <v>20</v>
      </c>
      <c r="D3" s="138" t="s">
        <v>21</v>
      </c>
      <c r="G3" s="229" t="s">
        <v>24</v>
      </c>
      <c r="H3" s="230"/>
    </row>
    <row r="4" spans="1:8" x14ac:dyDescent="0.3">
      <c r="A4" s="87" t="s">
        <v>23</v>
      </c>
      <c r="B4" s="91">
        <v>1319097</v>
      </c>
      <c r="C4" s="91">
        <v>1822129</v>
      </c>
      <c r="D4" s="88">
        <v>1918847</v>
      </c>
      <c r="G4" s="87" t="s">
        <v>24</v>
      </c>
      <c r="H4" s="82" t="s">
        <v>41</v>
      </c>
    </row>
    <row r="5" spans="1:8" x14ac:dyDescent="0.3">
      <c r="A5" s="84" t="s">
        <v>25</v>
      </c>
      <c r="B5" s="92">
        <v>-811584</v>
      </c>
      <c r="C5" s="92">
        <v>-1104374</v>
      </c>
      <c r="D5" s="89">
        <v>-1223743</v>
      </c>
      <c r="G5" s="55"/>
      <c r="H5" s="82" t="s">
        <v>42</v>
      </c>
    </row>
    <row r="6" spans="1:8" x14ac:dyDescent="0.3">
      <c r="A6" s="87" t="s">
        <v>27</v>
      </c>
      <c r="B6" s="91">
        <f>SUM(B4:B5)</f>
        <v>507513</v>
      </c>
      <c r="C6" s="91">
        <f>SUM(C4:C5)</f>
        <v>717755</v>
      </c>
      <c r="D6" s="91">
        <f>SUM(D4:D5)</f>
        <v>695104</v>
      </c>
      <c r="G6" s="84"/>
      <c r="H6" s="82" t="s">
        <v>43</v>
      </c>
    </row>
    <row r="7" spans="1:8" x14ac:dyDescent="0.3">
      <c r="A7" s="55" t="s">
        <v>29</v>
      </c>
      <c r="B7" s="93">
        <v>38395</v>
      </c>
      <c r="C7" s="93">
        <v>26624</v>
      </c>
      <c r="D7" s="8">
        <v>35623</v>
      </c>
    </row>
    <row r="8" spans="1:8" x14ac:dyDescent="0.3">
      <c r="A8" s="55" t="s">
        <v>31</v>
      </c>
      <c r="B8" s="93">
        <v>-259629</v>
      </c>
      <c r="C8" s="93">
        <v>-344449</v>
      </c>
      <c r="D8" s="8">
        <v>-416846</v>
      </c>
    </row>
    <row r="9" spans="1:8" x14ac:dyDescent="0.3">
      <c r="A9" s="84" t="s">
        <v>32</v>
      </c>
      <c r="B9" s="92">
        <v>-61826</v>
      </c>
      <c r="C9" s="92">
        <v>-82294</v>
      </c>
      <c r="D9" s="89">
        <v>-91715</v>
      </c>
    </row>
    <row r="10" spans="1:8" x14ac:dyDescent="0.3">
      <c r="A10" s="87" t="s">
        <v>34</v>
      </c>
      <c r="B10" s="91">
        <f>SUM(B6:B9)</f>
        <v>224453</v>
      </c>
      <c r="C10" s="91">
        <f>SUM(C6:C9)</f>
        <v>317636</v>
      </c>
      <c r="D10" s="91">
        <f>SUM(D6:D9)</f>
        <v>222166</v>
      </c>
    </row>
    <row r="11" spans="1:8" x14ac:dyDescent="0.3">
      <c r="A11" s="84" t="s">
        <v>35</v>
      </c>
      <c r="B11" s="92">
        <v>-19343</v>
      </c>
      <c r="C11" s="92">
        <v>-21745</v>
      </c>
      <c r="D11" s="89">
        <v>-50143</v>
      </c>
    </row>
    <row r="12" spans="1:8" x14ac:dyDescent="0.3">
      <c r="A12" s="87" t="s">
        <v>36</v>
      </c>
      <c r="B12" s="91">
        <f>SUM(B10:B11)</f>
        <v>205110</v>
      </c>
      <c r="C12" s="91">
        <f>SUM(C10:C11)</f>
        <v>295891</v>
      </c>
      <c r="D12" s="91">
        <f>SUM(D10:D11)</f>
        <v>172023</v>
      </c>
    </row>
    <row r="13" spans="1:8" x14ac:dyDescent="0.3">
      <c r="A13" s="84" t="s">
        <v>37</v>
      </c>
      <c r="B13" s="92">
        <v>-51007</v>
      </c>
      <c r="C13" s="92">
        <v>-73200</v>
      </c>
      <c r="D13" s="89">
        <v>-50143</v>
      </c>
    </row>
    <row r="14" spans="1:8" x14ac:dyDescent="0.3">
      <c r="A14" s="31" t="s">
        <v>38</v>
      </c>
      <c r="B14" s="32">
        <f>SUM(B12:B13)</f>
        <v>154103</v>
      </c>
      <c r="C14" s="32">
        <f>SUM(C12:C13)</f>
        <v>222691</v>
      </c>
      <c r="D14" s="32">
        <f>SUM(D12:D13)</f>
        <v>121880</v>
      </c>
    </row>
    <row r="15" spans="1:8" x14ac:dyDescent="0.3">
      <c r="B15" s="4"/>
    </row>
    <row r="17" spans="1:4" ht="28.8" x14ac:dyDescent="0.3">
      <c r="A17" s="136"/>
      <c r="B17" s="137" t="s">
        <v>19</v>
      </c>
      <c r="C17" s="137" t="s">
        <v>20</v>
      </c>
      <c r="D17" s="137" t="s">
        <v>39</v>
      </c>
    </row>
    <row r="18" spans="1:4" x14ac:dyDescent="0.3">
      <c r="A18" s="87" t="s">
        <v>23</v>
      </c>
      <c r="B18" s="91">
        <v>1319097</v>
      </c>
      <c r="C18" s="91">
        <v>1822129</v>
      </c>
      <c r="D18" s="87">
        <f>((C18-B18)/B18)*100</f>
        <v>38.134572362760281</v>
      </c>
    </row>
    <row r="19" spans="1:4" x14ac:dyDescent="0.3">
      <c r="A19" s="84" t="s">
        <v>25</v>
      </c>
      <c r="B19" s="92">
        <v>-811584</v>
      </c>
      <c r="C19" s="92">
        <v>-1104374</v>
      </c>
      <c r="D19" s="82">
        <f>((C19-B19)/B19)*100</f>
        <v>36.076364245721948</v>
      </c>
    </row>
    <row r="20" spans="1:4" x14ac:dyDescent="0.3">
      <c r="A20" s="87" t="s">
        <v>27</v>
      </c>
      <c r="B20" s="91">
        <f>SUM(B18:B19)</f>
        <v>507513</v>
      </c>
      <c r="C20" s="91">
        <f>SUM(C18:C19)</f>
        <v>717755</v>
      </c>
      <c r="D20" s="87">
        <f t="shared" ref="D20:D28" si="0">(C20-B20)/B20 *100</f>
        <v>41.4259339169637</v>
      </c>
    </row>
    <row r="21" spans="1:4" x14ac:dyDescent="0.3">
      <c r="A21" s="55" t="s">
        <v>29</v>
      </c>
      <c r="B21" s="93">
        <v>38395</v>
      </c>
      <c r="C21" s="93">
        <v>26624</v>
      </c>
      <c r="D21" s="55">
        <f t="shared" si="0"/>
        <v>-30.657637713243911</v>
      </c>
    </row>
    <row r="22" spans="1:4" x14ac:dyDescent="0.3">
      <c r="A22" s="55" t="s">
        <v>31</v>
      </c>
      <c r="B22" s="93">
        <v>-259629</v>
      </c>
      <c r="C22" s="93">
        <v>-344449</v>
      </c>
      <c r="D22" s="55">
        <f t="shared" si="0"/>
        <v>32.669694063452084</v>
      </c>
    </row>
    <row r="23" spans="1:4" x14ac:dyDescent="0.3">
      <c r="A23" s="84" t="s">
        <v>32</v>
      </c>
      <c r="B23" s="92">
        <v>-61826</v>
      </c>
      <c r="C23" s="92">
        <v>-82294</v>
      </c>
      <c r="D23" s="84">
        <f t="shared" si="0"/>
        <v>33.105813088344711</v>
      </c>
    </row>
    <row r="24" spans="1:4" x14ac:dyDescent="0.3">
      <c r="A24" s="87" t="s">
        <v>34</v>
      </c>
      <c r="B24" s="91">
        <f>SUM(B20:B23)</f>
        <v>224453</v>
      </c>
      <c r="C24" s="91">
        <f>SUM(C20:C23)</f>
        <v>317636</v>
      </c>
      <c r="D24" s="87">
        <f>(C24-B24)/B24 *100</f>
        <v>41.515595692639437</v>
      </c>
    </row>
    <row r="25" spans="1:4" x14ac:dyDescent="0.3">
      <c r="A25" s="84" t="s">
        <v>35</v>
      </c>
      <c r="B25" s="92">
        <v>-19343</v>
      </c>
      <c r="C25" s="92">
        <v>-21745</v>
      </c>
      <c r="D25" s="84">
        <f t="shared" si="0"/>
        <v>12.417928966551207</v>
      </c>
    </row>
    <row r="26" spans="1:4" x14ac:dyDescent="0.3">
      <c r="A26" s="87" t="s">
        <v>36</v>
      </c>
      <c r="B26" s="91">
        <f>SUM(B24:B25)</f>
        <v>205110</v>
      </c>
      <c r="C26" s="91">
        <f>SUM(C24:C25)</f>
        <v>295891</v>
      </c>
      <c r="D26" s="87">
        <f t="shared" si="0"/>
        <v>44.259665545317148</v>
      </c>
    </row>
    <row r="27" spans="1:4" x14ac:dyDescent="0.3">
      <c r="A27" s="84" t="s">
        <v>37</v>
      </c>
      <c r="B27" s="92">
        <v>-51007</v>
      </c>
      <c r="C27" s="92">
        <v>-73200</v>
      </c>
      <c r="D27" s="84">
        <f t="shared" si="0"/>
        <v>43.509714352931951</v>
      </c>
    </row>
    <row r="28" spans="1:4" x14ac:dyDescent="0.3">
      <c r="A28" s="31" t="s">
        <v>38</v>
      </c>
      <c r="B28" s="32">
        <f>SUM(B26:B27)</f>
        <v>154103</v>
      </c>
      <c r="C28" s="32">
        <f>SUM(C26:C27)</f>
        <v>222691</v>
      </c>
      <c r="D28" s="136">
        <f t="shared" si="0"/>
        <v>44.507894070848721</v>
      </c>
    </row>
    <row r="30" spans="1:4" ht="28.8" x14ac:dyDescent="0.3">
      <c r="A30" s="136"/>
      <c r="B30" s="137" t="s">
        <v>20</v>
      </c>
      <c r="C30" s="138" t="s">
        <v>21</v>
      </c>
      <c r="D30" s="137" t="s">
        <v>39</v>
      </c>
    </row>
    <row r="31" spans="1:4" x14ac:dyDescent="0.3">
      <c r="A31" s="87" t="s">
        <v>23</v>
      </c>
      <c r="B31" s="91">
        <v>1822129</v>
      </c>
      <c r="C31" s="88">
        <v>1918847</v>
      </c>
      <c r="D31" s="87">
        <f>((C31-B31)/B31)*100</f>
        <v>5.3079666697582883</v>
      </c>
    </row>
    <row r="32" spans="1:4" x14ac:dyDescent="0.3">
      <c r="A32" s="84" t="s">
        <v>25</v>
      </c>
      <c r="B32" s="92">
        <v>-1104374</v>
      </c>
      <c r="C32" s="89">
        <v>-1223743</v>
      </c>
      <c r="D32" s="82">
        <f>((C32-B32)/B32)*100</f>
        <v>10.808747761175109</v>
      </c>
    </row>
    <row r="33" spans="1:4" x14ac:dyDescent="0.3">
      <c r="A33" s="87" t="s">
        <v>27</v>
      </c>
      <c r="B33" s="91">
        <f>SUM(B31:B32)</f>
        <v>717755</v>
      </c>
      <c r="C33" s="91">
        <f>SUM(C31:C32)</f>
        <v>695104</v>
      </c>
      <c r="D33" s="87">
        <f t="shared" ref="D33:D41" si="1">(C33-B33)/B33 *100</f>
        <v>-3.1558122200472307</v>
      </c>
    </row>
    <row r="34" spans="1:4" x14ac:dyDescent="0.3">
      <c r="A34" s="55" t="s">
        <v>29</v>
      </c>
      <c r="B34" s="93">
        <v>26624</v>
      </c>
      <c r="C34" s="8">
        <v>35623</v>
      </c>
      <c r="D34" s="55">
        <f t="shared" si="1"/>
        <v>33.800330528846153</v>
      </c>
    </row>
    <row r="35" spans="1:4" x14ac:dyDescent="0.3">
      <c r="A35" s="55" t="s">
        <v>31</v>
      </c>
      <c r="B35" s="93">
        <v>-344449</v>
      </c>
      <c r="C35" s="8">
        <v>-416846</v>
      </c>
      <c r="D35" s="55">
        <f t="shared" si="1"/>
        <v>21.018205888244704</v>
      </c>
    </row>
    <row r="36" spans="1:4" x14ac:dyDescent="0.3">
      <c r="A36" s="84" t="s">
        <v>32</v>
      </c>
      <c r="B36" s="92">
        <v>-82294</v>
      </c>
      <c r="C36" s="89">
        <v>-91715</v>
      </c>
      <c r="D36" s="84">
        <f t="shared" si="1"/>
        <v>11.447979196539237</v>
      </c>
    </row>
    <row r="37" spans="1:4" x14ac:dyDescent="0.3">
      <c r="A37" s="87" t="s">
        <v>34</v>
      </c>
      <c r="B37" s="91">
        <f>SUM(B33:B36)</f>
        <v>317636</v>
      </c>
      <c r="C37" s="91">
        <f>SUM(C33:C36)</f>
        <v>222166</v>
      </c>
      <c r="D37" s="87">
        <f>(C37-B37)/B37 *100</f>
        <v>-30.056416778954524</v>
      </c>
    </row>
    <row r="38" spans="1:4" x14ac:dyDescent="0.3">
      <c r="A38" s="84" t="s">
        <v>35</v>
      </c>
      <c r="B38" s="92">
        <v>-21745</v>
      </c>
      <c r="C38" s="89">
        <v>-50143</v>
      </c>
      <c r="D38" s="84">
        <f t="shared" si="1"/>
        <v>130.59553920441479</v>
      </c>
    </row>
    <row r="39" spans="1:4" x14ac:dyDescent="0.3">
      <c r="A39" s="87" t="s">
        <v>36</v>
      </c>
      <c r="B39" s="91">
        <f>SUM(B37:B38)</f>
        <v>295891</v>
      </c>
      <c r="C39" s="91">
        <f>SUM(C37:C38)</f>
        <v>172023</v>
      </c>
      <c r="D39" s="87">
        <f t="shared" si="1"/>
        <v>-41.862712958488089</v>
      </c>
    </row>
    <row r="40" spans="1:4" x14ac:dyDescent="0.3">
      <c r="A40" s="84" t="s">
        <v>37</v>
      </c>
      <c r="B40" s="92">
        <v>-73200</v>
      </c>
      <c r="C40" s="89">
        <v>-50143</v>
      </c>
      <c r="D40" s="84">
        <f t="shared" si="1"/>
        <v>-31.498633879781419</v>
      </c>
    </row>
    <row r="41" spans="1:4" x14ac:dyDescent="0.3">
      <c r="A41" s="31" t="s">
        <v>38</v>
      </c>
      <c r="B41" s="32">
        <f>SUM(B39:B40)</f>
        <v>222691</v>
      </c>
      <c r="C41" s="32">
        <f>SUM(C39:C40)</f>
        <v>121880</v>
      </c>
      <c r="D41" s="136">
        <f t="shared" si="1"/>
        <v>-45.269454086604313</v>
      </c>
    </row>
  </sheetData>
  <mergeCells count="2">
    <mergeCell ref="G3:H3"/>
    <mergeCell ref="G2:H2"/>
  </mergeCells>
  <phoneticPr fontId="7" alignment="center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B72BF-8AAE-441A-81E0-F7D94A804447}">
  <dimension ref="A2:L46"/>
  <sheetViews>
    <sheetView workbookViewId="0">
      <selection activeCell="K12" sqref="K12"/>
    </sheetView>
  </sheetViews>
  <sheetFormatPr defaultRowHeight="14.4" x14ac:dyDescent="0.3"/>
  <cols>
    <col min="1" max="1" width="46.33203125" customWidth="1"/>
    <col min="2" max="3" width="8" bestFit="1" customWidth="1"/>
    <col min="4" max="4" width="24.5546875" bestFit="1" customWidth="1"/>
    <col min="6" max="6" width="48.5546875" bestFit="1" customWidth="1"/>
    <col min="7" max="7" width="8" bestFit="1" customWidth="1"/>
    <col min="9" max="9" width="8" bestFit="1" customWidth="1"/>
  </cols>
  <sheetData>
    <row r="2" spans="1:12" x14ac:dyDescent="0.3">
      <c r="A2" s="19" t="s">
        <v>44</v>
      </c>
      <c r="B2" s="201">
        <v>2023</v>
      </c>
      <c r="C2" s="201">
        <v>2022</v>
      </c>
      <c r="D2" s="201" t="s">
        <v>45</v>
      </c>
      <c r="F2" s="19" t="s">
        <v>44</v>
      </c>
      <c r="G2" s="201">
        <v>2024</v>
      </c>
      <c r="H2" s="201">
        <v>2023</v>
      </c>
      <c r="I2" s="201">
        <v>2022</v>
      </c>
    </row>
    <row r="3" spans="1:12" x14ac:dyDescent="0.3">
      <c r="A3" s="21" t="s">
        <v>46</v>
      </c>
      <c r="B3" s="17"/>
      <c r="C3" s="17"/>
      <c r="D3" s="17"/>
      <c r="F3" s="21" t="s">
        <v>46</v>
      </c>
      <c r="G3" s="17"/>
      <c r="H3" s="17"/>
      <c r="I3" s="17"/>
    </row>
    <row r="4" spans="1:12" x14ac:dyDescent="0.3">
      <c r="A4" s="22" t="s">
        <v>47</v>
      </c>
      <c r="B4" s="25">
        <v>144373</v>
      </c>
      <c r="C4" s="25">
        <v>90376</v>
      </c>
      <c r="D4" s="17">
        <f>(B4-C4)/C4*100</f>
        <v>59.747056740727622</v>
      </c>
      <c r="F4" s="22" t="s">
        <v>47</v>
      </c>
      <c r="G4" s="25">
        <v>148139</v>
      </c>
      <c r="H4" s="25">
        <v>144373</v>
      </c>
      <c r="I4" s="25">
        <v>90376</v>
      </c>
    </row>
    <row r="5" spans="1:12" x14ac:dyDescent="0.3">
      <c r="A5" s="22" t="s">
        <v>48</v>
      </c>
      <c r="B5" s="25">
        <v>73630</v>
      </c>
      <c r="C5" s="25">
        <v>59777</v>
      </c>
      <c r="D5" s="17">
        <f t="shared" ref="D5:D24" si="0">(B5-C5)/C5*100</f>
        <v>23.174465095270758</v>
      </c>
      <c r="F5" s="22" t="s">
        <v>48</v>
      </c>
      <c r="G5" s="25">
        <v>89120</v>
      </c>
      <c r="H5" s="25">
        <v>73630</v>
      </c>
      <c r="I5" s="25">
        <v>59777</v>
      </c>
    </row>
    <row r="6" spans="1:12" x14ac:dyDescent="0.3">
      <c r="A6" s="22" t="s">
        <v>49</v>
      </c>
      <c r="B6" s="25">
        <v>99186</v>
      </c>
      <c r="C6" s="25">
        <v>98476</v>
      </c>
      <c r="D6" s="17">
        <f t="shared" si="0"/>
        <v>0.72098785490881023</v>
      </c>
      <c r="F6" s="22" t="s">
        <v>49</v>
      </c>
      <c r="G6" s="25">
        <v>98453</v>
      </c>
      <c r="H6" s="25">
        <v>99186</v>
      </c>
      <c r="I6" s="25">
        <v>98476</v>
      </c>
    </row>
    <row r="7" spans="1:12" x14ac:dyDescent="0.3">
      <c r="A7" s="22" t="s">
        <v>50</v>
      </c>
      <c r="B7" s="25">
        <v>77563</v>
      </c>
      <c r="C7" s="25">
        <v>73813</v>
      </c>
      <c r="D7" s="17">
        <f t="shared" si="0"/>
        <v>5.0804058905612832</v>
      </c>
      <c r="F7" s="22" t="s">
        <v>50</v>
      </c>
      <c r="G7" s="25">
        <v>76896</v>
      </c>
      <c r="H7" s="25">
        <v>77563</v>
      </c>
      <c r="I7" s="25">
        <v>73813</v>
      </c>
      <c r="L7" s="94"/>
    </row>
    <row r="8" spans="1:12" x14ac:dyDescent="0.3">
      <c r="A8" s="22" t="s">
        <v>51</v>
      </c>
      <c r="B8" s="17">
        <v>0</v>
      </c>
      <c r="C8" s="17">
        <v>0</v>
      </c>
      <c r="D8" s="17"/>
      <c r="F8" s="22" t="s">
        <v>51</v>
      </c>
      <c r="G8" s="17">
        <v>0</v>
      </c>
      <c r="H8" s="17">
        <v>0</v>
      </c>
      <c r="I8" s="17">
        <v>0</v>
      </c>
    </row>
    <row r="9" spans="1:12" x14ac:dyDescent="0.3">
      <c r="A9" s="22" t="s">
        <v>52</v>
      </c>
      <c r="B9" s="25">
        <v>1160</v>
      </c>
      <c r="C9" s="17">
        <v>494</v>
      </c>
      <c r="D9" s="17">
        <f t="shared" si="0"/>
        <v>134.81781376518219</v>
      </c>
      <c r="F9" s="22" t="s">
        <v>52</v>
      </c>
      <c r="G9" s="25">
        <v>1308</v>
      </c>
      <c r="H9" s="25">
        <v>1160</v>
      </c>
      <c r="I9" s="17">
        <v>494</v>
      </c>
    </row>
    <row r="10" spans="1:12" x14ac:dyDescent="0.3">
      <c r="A10" s="22" t="s">
        <v>53</v>
      </c>
      <c r="B10" s="25">
        <v>2766</v>
      </c>
      <c r="C10" s="25">
        <v>7444</v>
      </c>
      <c r="D10" s="17">
        <f t="shared" si="0"/>
        <v>-62.84255776464267</v>
      </c>
      <c r="F10" s="22" t="s">
        <v>53</v>
      </c>
      <c r="G10" s="25">
        <v>2923</v>
      </c>
      <c r="H10" s="25">
        <v>2766</v>
      </c>
      <c r="I10" s="25">
        <v>7444</v>
      </c>
    </row>
    <row r="11" spans="1:12" x14ac:dyDescent="0.3">
      <c r="A11" s="22" t="s">
        <v>54</v>
      </c>
      <c r="B11" s="25">
        <v>1115</v>
      </c>
      <c r="C11" s="25">
        <v>1878</v>
      </c>
      <c r="D11" s="17">
        <f t="shared" si="0"/>
        <v>-40.628328008519702</v>
      </c>
      <c r="F11" s="22" t="s">
        <v>54</v>
      </c>
      <c r="G11" s="17">
        <v>0</v>
      </c>
      <c r="H11" s="25">
        <v>1115</v>
      </c>
      <c r="I11" s="25">
        <v>1878</v>
      </c>
    </row>
    <row r="12" spans="1:12" x14ac:dyDescent="0.3">
      <c r="A12" s="22" t="s">
        <v>55</v>
      </c>
      <c r="B12" s="17">
        <v>0</v>
      </c>
      <c r="C12" s="17">
        <v>0</v>
      </c>
      <c r="D12" s="17"/>
      <c r="F12" s="22" t="s">
        <v>55</v>
      </c>
      <c r="G12" s="25">
        <v>3470</v>
      </c>
      <c r="H12" s="17">
        <v>0</v>
      </c>
      <c r="I12" s="17">
        <v>0</v>
      </c>
    </row>
    <row r="13" spans="1:12" x14ac:dyDescent="0.3">
      <c r="A13" s="22"/>
      <c r="B13" s="26">
        <f>SUM(B4:B12)</f>
        <v>399793</v>
      </c>
      <c r="C13" s="26">
        <f>SUM(C4:C12)</f>
        <v>332258</v>
      </c>
      <c r="D13" s="17">
        <f t="shared" si="0"/>
        <v>20.326071907975127</v>
      </c>
      <c r="F13" s="22"/>
      <c r="G13" s="26">
        <f>SUM(G4:G12)</f>
        <v>420309</v>
      </c>
      <c r="H13" s="26">
        <f>SUM(H4:H12)</f>
        <v>399793</v>
      </c>
      <c r="I13" s="26">
        <f>SUM(I4:I12)</f>
        <v>332258</v>
      </c>
    </row>
    <row r="14" spans="1:12" x14ac:dyDescent="0.3">
      <c r="A14" s="21" t="s">
        <v>56</v>
      </c>
      <c r="B14" s="17"/>
      <c r="C14" s="17"/>
      <c r="D14" s="17"/>
      <c r="F14" s="21" t="s">
        <v>56</v>
      </c>
      <c r="G14" s="17"/>
      <c r="H14" s="17"/>
      <c r="I14" s="17"/>
    </row>
    <row r="15" spans="1:12" x14ac:dyDescent="0.3">
      <c r="A15" s="22" t="s">
        <v>57</v>
      </c>
      <c r="B15" s="25">
        <v>94140</v>
      </c>
      <c r="C15" s="25">
        <v>53869</v>
      </c>
      <c r="D15" s="17">
        <f t="shared" si="0"/>
        <v>74.757281553398059</v>
      </c>
      <c r="F15" s="22" t="s">
        <v>57</v>
      </c>
      <c r="G15" s="25">
        <v>91827</v>
      </c>
      <c r="H15" s="25">
        <v>94140</v>
      </c>
      <c r="I15" s="25">
        <v>53869</v>
      </c>
    </row>
    <row r="16" spans="1:12" x14ac:dyDescent="0.3">
      <c r="A16" s="22" t="s">
        <v>58</v>
      </c>
      <c r="B16" s="25">
        <v>55132</v>
      </c>
      <c r="C16" s="25">
        <v>50429</v>
      </c>
      <c r="D16" s="17">
        <f t="shared" si="0"/>
        <v>9.3259830652997291</v>
      </c>
      <c r="F16" s="22" t="s">
        <v>58</v>
      </c>
      <c r="G16" s="25">
        <v>56289</v>
      </c>
      <c r="H16" s="25">
        <v>55132</v>
      </c>
      <c r="I16" s="25">
        <v>50429</v>
      </c>
    </row>
    <row r="17" spans="1:9" x14ac:dyDescent="0.3">
      <c r="A17" s="22" t="s">
        <v>59</v>
      </c>
      <c r="B17" s="25">
        <v>1953</v>
      </c>
      <c r="C17" s="25">
        <v>1514</v>
      </c>
      <c r="D17" s="17">
        <f t="shared" si="0"/>
        <v>28.996036988110962</v>
      </c>
      <c r="F17" s="22" t="s">
        <v>59</v>
      </c>
      <c r="G17" s="25">
        <v>2729</v>
      </c>
      <c r="H17" s="25">
        <v>1953</v>
      </c>
      <c r="I17" s="25">
        <v>1514</v>
      </c>
    </row>
    <row r="18" spans="1:9" x14ac:dyDescent="0.3">
      <c r="A18" s="22" t="s">
        <v>60</v>
      </c>
      <c r="B18" s="25">
        <v>112454</v>
      </c>
      <c r="C18" s="25">
        <v>115286</v>
      </c>
      <c r="D18" s="17">
        <f t="shared" si="0"/>
        <v>-2.456499488229273</v>
      </c>
      <c r="F18" s="22" t="s">
        <v>60</v>
      </c>
      <c r="G18" s="25">
        <v>88594</v>
      </c>
      <c r="H18" s="25">
        <v>112454</v>
      </c>
      <c r="I18" s="25">
        <v>115286</v>
      </c>
    </row>
    <row r="19" spans="1:9" x14ac:dyDescent="0.3">
      <c r="A19" s="22" t="s">
        <v>61</v>
      </c>
      <c r="B19" s="25">
        <v>30510</v>
      </c>
      <c r="C19" s="25">
        <v>27318</v>
      </c>
      <c r="D19" s="17">
        <f t="shared" si="0"/>
        <v>11.684603558093565</v>
      </c>
      <c r="F19" s="22" t="s">
        <v>61</v>
      </c>
      <c r="G19" s="25">
        <v>54765</v>
      </c>
      <c r="H19" s="25">
        <v>30510</v>
      </c>
      <c r="I19" s="25">
        <v>27318</v>
      </c>
    </row>
    <row r="20" spans="1:9" x14ac:dyDescent="0.3">
      <c r="A20" s="22"/>
      <c r="B20" s="26">
        <f>SUM(B15:B19)</f>
        <v>294189</v>
      </c>
      <c r="C20" s="26">
        <f>SUM(C15:C19)</f>
        <v>248416</v>
      </c>
      <c r="D20" s="17">
        <f t="shared" si="0"/>
        <v>18.425946798917945</v>
      </c>
      <c r="F20" s="22"/>
      <c r="G20" s="26">
        <f>SUM(G15:G19)</f>
        <v>294204</v>
      </c>
      <c r="H20" s="26">
        <f>SUM(H15:H19)</f>
        <v>294189</v>
      </c>
      <c r="I20" s="26">
        <f>SUM(I15:I19)</f>
        <v>248416</v>
      </c>
    </row>
    <row r="21" spans="1:9" x14ac:dyDescent="0.3">
      <c r="A21" s="22"/>
      <c r="B21" s="16"/>
      <c r="C21" s="16"/>
      <c r="D21" s="17"/>
      <c r="F21" s="24"/>
      <c r="G21" s="22"/>
      <c r="H21" s="16"/>
      <c r="I21" s="16"/>
    </row>
    <row r="22" spans="1:9" ht="28.8" x14ac:dyDescent="0.3">
      <c r="A22" s="23" t="s">
        <v>62</v>
      </c>
      <c r="B22" s="17">
        <v>0</v>
      </c>
      <c r="C22" s="17">
        <v>64824</v>
      </c>
      <c r="D22" s="17">
        <f>(B22-C22)/C22*100</f>
        <v>-100</v>
      </c>
      <c r="F22" s="23" t="s">
        <v>62</v>
      </c>
      <c r="G22" s="17">
        <v>0</v>
      </c>
      <c r="H22" s="17">
        <v>0</v>
      </c>
      <c r="I22" s="17">
        <v>64824</v>
      </c>
    </row>
    <row r="23" spans="1:9" x14ac:dyDescent="0.3">
      <c r="A23" s="22"/>
      <c r="B23" s="16"/>
      <c r="C23" s="16"/>
      <c r="D23" s="17"/>
      <c r="F23" s="24"/>
      <c r="G23" s="22"/>
      <c r="H23" s="16"/>
      <c r="I23" s="16"/>
    </row>
    <row r="24" spans="1:9" x14ac:dyDescent="0.3">
      <c r="A24" s="19" t="s">
        <v>63</v>
      </c>
      <c r="B24" s="27">
        <f>B13+B20</f>
        <v>693982</v>
      </c>
      <c r="C24" s="27">
        <f>SUM(C13+C20+C22)</f>
        <v>645498</v>
      </c>
      <c r="D24" s="20">
        <f t="shared" si="0"/>
        <v>7.5110999569324761</v>
      </c>
      <c r="F24" s="19" t="s">
        <v>63</v>
      </c>
      <c r="G24" s="27">
        <v>714513</v>
      </c>
      <c r="H24" s="27">
        <f>H13+H20</f>
        <v>693982</v>
      </c>
      <c r="I24" s="27">
        <f>SUM(I13+I20+I22)</f>
        <v>645498</v>
      </c>
    </row>
    <row r="26" spans="1:9" x14ac:dyDescent="0.3">
      <c r="A26" s="19" t="s">
        <v>44</v>
      </c>
      <c r="B26" s="201">
        <v>2024</v>
      </c>
      <c r="C26" s="201">
        <v>2023</v>
      </c>
      <c r="D26" s="201" t="s">
        <v>64</v>
      </c>
    </row>
    <row r="27" spans="1:9" x14ac:dyDescent="0.3">
      <c r="A27" s="21" t="s">
        <v>46</v>
      </c>
      <c r="B27" s="17"/>
      <c r="C27" s="17"/>
      <c r="D27" s="17"/>
      <c r="F27" s="11" t="s">
        <v>65</v>
      </c>
    </row>
    <row r="28" spans="1:9" x14ac:dyDescent="0.3">
      <c r="A28" s="22" t="s">
        <v>47</v>
      </c>
      <c r="B28" s="25">
        <v>148139</v>
      </c>
      <c r="C28" s="25">
        <v>144373</v>
      </c>
      <c r="D28" s="17">
        <f>(B28-C28)/C28*100</f>
        <v>2.6085209838404686</v>
      </c>
      <c r="F28" t="s">
        <v>66</v>
      </c>
    </row>
    <row r="29" spans="1:9" x14ac:dyDescent="0.3">
      <c r="A29" s="22" t="s">
        <v>48</v>
      </c>
      <c r="B29" s="25">
        <v>89120</v>
      </c>
      <c r="C29" s="25">
        <v>73630</v>
      </c>
      <c r="D29" s="17">
        <f>(B29-C29)/C29*100</f>
        <v>21.037620535107973</v>
      </c>
      <c r="F29" t="s">
        <v>67</v>
      </c>
    </row>
    <row r="30" spans="1:9" x14ac:dyDescent="0.3">
      <c r="A30" s="22" t="s">
        <v>49</v>
      </c>
      <c r="B30" s="25">
        <v>98453</v>
      </c>
      <c r="C30" s="25">
        <v>99186</v>
      </c>
      <c r="D30" s="17">
        <f>(B30-C30)/C30*100</f>
        <v>-0.73901558687718027</v>
      </c>
      <c r="F30" t="s">
        <v>68</v>
      </c>
    </row>
    <row r="31" spans="1:9" x14ac:dyDescent="0.3">
      <c r="A31" s="22" t="s">
        <v>50</v>
      </c>
      <c r="B31" s="25">
        <v>76896</v>
      </c>
      <c r="C31" s="25">
        <v>77563</v>
      </c>
      <c r="D31" s="17">
        <f>(B31-C31)/C31*100</f>
        <v>-0.85994610832484564</v>
      </c>
    </row>
    <row r="32" spans="1:9" x14ac:dyDescent="0.3">
      <c r="A32" s="22" t="s">
        <v>51</v>
      </c>
      <c r="B32" s="17">
        <v>0</v>
      </c>
      <c r="C32" s="17">
        <v>0</v>
      </c>
      <c r="D32" s="17"/>
      <c r="F32" s="11" t="s">
        <v>69</v>
      </c>
    </row>
    <row r="33" spans="1:6" x14ac:dyDescent="0.3">
      <c r="A33" s="22" t="s">
        <v>52</v>
      </c>
      <c r="B33" s="25">
        <v>1308</v>
      </c>
      <c r="C33" s="25">
        <v>1160</v>
      </c>
      <c r="D33" s="17">
        <f>(B33-C33)/C33*100</f>
        <v>12.758620689655173</v>
      </c>
      <c r="F33" t="s">
        <v>70</v>
      </c>
    </row>
    <row r="34" spans="1:6" x14ac:dyDescent="0.3">
      <c r="A34" s="22" t="s">
        <v>53</v>
      </c>
      <c r="B34" s="25">
        <v>2923</v>
      </c>
      <c r="C34" s="25">
        <v>2766</v>
      </c>
      <c r="D34" s="17">
        <f>(B34-C34)/C34*100</f>
        <v>5.6760665220535067</v>
      </c>
      <c r="F34" t="s">
        <v>71</v>
      </c>
    </row>
    <row r="35" spans="1:6" x14ac:dyDescent="0.3">
      <c r="A35" s="22" t="s">
        <v>54</v>
      </c>
      <c r="B35" s="17">
        <v>0</v>
      </c>
      <c r="C35" s="17">
        <v>0</v>
      </c>
      <c r="D35" s="17"/>
      <c r="F35" t="s">
        <v>72</v>
      </c>
    </row>
    <row r="36" spans="1:6" x14ac:dyDescent="0.3">
      <c r="A36" s="22" t="s">
        <v>55</v>
      </c>
      <c r="B36" s="25">
        <v>3470</v>
      </c>
      <c r="C36" s="25">
        <v>1115</v>
      </c>
      <c r="D36" s="17">
        <f>(B36-C36)/C36*100</f>
        <v>211.21076233183857</v>
      </c>
    </row>
    <row r="37" spans="1:6" x14ac:dyDescent="0.3">
      <c r="A37" s="22"/>
      <c r="B37" s="26">
        <f>SUM(B28:B36)</f>
        <v>420309</v>
      </c>
      <c r="C37" s="26">
        <f>SUM(C28:C36)</f>
        <v>399793</v>
      </c>
      <c r="D37" s="17">
        <f>(B37-C37)/C37*100</f>
        <v>5.1316556317894513</v>
      </c>
      <c r="F37" s="11" t="s">
        <v>73</v>
      </c>
    </row>
    <row r="38" spans="1:6" x14ac:dyDescent="0.3">
      <c r="A38" s="21" t="s">
        <v>56</v>
      </c>
      <c r="B38" s="17"/>
      <c r="C38" s="17"/>
      <c r="D38" s="17"/>
      <c r="F38" t="s">
        <v>47</v>
      </c>
    </row>
    <row r="39" spans="1:6" x14ac:dyDescent="0.3">
      <c r="A39" s="22" t="s">
        <v>57</v>
      </c>
      <c r="B39" s="25">
        <v>91827</v>
      </c>
      <c r="C39" s="25">
        <v>94140</v>
      </c>
      <c r="D39" s="17">
        <f t="shared" ref="D39:D44" si="1">(B39-C39)/C39*100</f>
        <v>-2.4569789674952198</v>
      </c>
      <c r="F39" t="s">
        <v>49</v>
      </c>
    </row>
    <row r="40" spans="1:6" x14ac:dyDescent="0.3">
      <c r="A40" s="22" t="s">
        <v>58</v>
      </c>
      <c r="B40" s="25">
        <v>56289</v>
      </c>
      <c r="C40" s="25">
        <v>55132</v>
      </c>
      <c r="D40" s="17">
        <f t="shared" si="1"/>
        <v>2.0985997242980483</v>
      </c>
      <c r="F40" t="s">
        <v>48</v>
      </c>
    </row>
    <row r="41" spans="1:6" x14ac:dyDescent="0.3">
      <c r="A41" s="22" t="s">
        <v>59</v>
      </c>
      <c r="B41" s="25">
        <v>2729</v>
      </c>
      <c r="C41" s="25">
        <v>1953</v>
      </c>
      <c r="D41" s="17">
        <f t="shared" si="1"/>
        <v>39.73374295954941</v>
      </c>
      <c r="F41" t="s">
        <v>50</v>
      </c>
    </row>
    <row r="42" spans="1:6" x14ac:dyDescent="0.3">
      <c r="A42" s="22" t="s">
        <v>60</v>
      </c>
      <c r="B42" s="25">
        <v>88594</v>
      </c>
      <c r="C42" s="25">
        <v>112454</v>
      </c>
      <c r="D42" s="17">
        <f t="shared" si="1"/>
        <v>-21.217564515268467</v>
      </c>
      <c r="F42" t="s">
        <v>57</v>
      </c>
    </row>
    <row r="43" spans="1:6" x14ac:dyDescent="0.3">
      <c r="A43" s="22" t="s">
        <v>61</v>
      </c>
      <c r="B43" s="25">
        <v>54765</v>
      </c>
      <c r="C43" s="25">
        <v>30510</v>
      </c>
      <c r="D43" s="17">
        <f t="shared" si="1"/>
        <v>79.498525073746322</v>
      </c>
    </row>
    <row r="44" spans="1:6" x14ac:dyDescent="0.3">
      <c r="A44" s="22"/>
      <c r="B44" s="26">
        <f>SUM(B39:B43)</f>
        <v>294204</v>
      </c>
      <c r="C44" s="26">
        <f>SUM(C39:C43)</f>
        <v>294189</v>
      </c>
      <c r="D44" s="17">
        <f t="shared" si="1"/>
        <v>5.098763040086475E-3</v>
      </c>
    </row>
    <row r="45" spans="1:6" x14ac:dyDescent="0.3">
      <c r="A45" s="22"/>
      <c r="B45" s="16"/>
      <c r="C45" s="17"/>
      <c r="D45" s="17"/>
    </row>
    <row r="46" spans="1:6" x14ac:dyDescent="0.3">
      <c r="A46" s="19" t="s">
        <v>63</v>
      </c>
      <c r="B46" s="27">
        <f>B37+B44</f>
        <v>714513</v>
      </c>
      <c r="C46" s="27">
        <f>C37+C44</f>
        <v>693982</v>
      </c>
      <c r="D46" s="18">
        <f>(B46-C46)/C46*100</f>
        <v>2.9584340804228351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593EF-DC2F-4D30-AA1D-B81D3979A4F0}">
  <dimension ref="A2:I55"/>
  <sheetViews>
    <sheetView workbookViewId="0">
      <selection activeCell="G23" sqref="G23"/>
    </sheetView>
  </sheetViews>
  <sheetFormatPr defaultRowHeight="14.4" x14ac:dyDescent="0.3"/>
  <cols>
    <col min="1" max="1" width="48.88671875" bestFit="1" customWidth="1"/>
    <col min="2" max="2" width="16.44140625" customWidth="1"/>
    <col min="3" max="3" width="19.44140625" customWidth="1"/>
    <col min="4" max="4" width="19.5546875" customWidth="1"/>
    <col min="6" max="6" width="41.6640625" customWidth="1"/>
    <col min="7" max="7" width="17.109375" customWidth="1"/>
    <col min="8" max="8" width="18.5546875" customWidth="1"/>
    <col min="9" max="9" width="17.33203125" customWidth="1"/>
  </cols>
  <sheetData>
    <row r="2" spans="1:9" x14ac:dyDescent="0.3">
      <c r="A2" s="143" t="s">
        <v>44</v>
      </c>
      <c r="B2" s="142">
        <v>2023</v>
      </c>
      <c r="C2" s="142">
        <v>2022</v>
      </c>
      <c r="D2" s="142" t="s">
        <v>64</v>
      </c>
      <c r="F2" s="139" t="s">
        <v>44</v>
      </c>
      <c r="G2" s="140">
        <v>2024</v>
      </c>
      <c r="H2" s="140">
        <v>2023</v>
      </c>
      <c r="I2" s="140">
        <v>2022</v>
      </c>
    </row>
    <row r="3" spans="1:9" x14ac:dyDescent="0.3">
      <c r="A3" s="21" t="s">
        <v>46</v>
      </c>
      <c r="B3" s="17"/>
      <c r="C3" s="17"/>
      <c r="D3" s="17"/>
      <c r="F3" s="21" t="s">
        <v>46</v>
      </c>
      <c r="G3" s="17"/>
      <c r="H3" s="17"/>
      <c r="I3" s="17"/>
    </row>
    <row r="4" spans="1:9" x14ac:dyDescent="0.3">
      <c r="A4" s="22" t="s">
        <v>47</v>
      </c>
      <c r="B4" s="25">
        <v>86253</v>
      </c>
      <c r="C4" s="25">
        <v>76126</v>
      </c>
      <c r="D4" s="17">
        <f>(B4-C4)/C4*100</f>
        <v>13.302945117305519</v>
      </c>
      <c r="F4" s="22" t="s">
        <v>47</v>
      </c>
      <c r="G4" s="25">
        <v>115089</v>
      </c>
      <c r="H4" s="25">
        <v>86253</v>
      </c>
      <c r="I4" s="25">
        <v>76126</v>
      </c>
    </row>
    <row r="5" spans="1:9" x14ac:dyDescent="0.3">
      <c r="A5" s="22" t="s">
        <v>48</v>
      </c>
      <c r="B5" s="25">
        <v>421993</v>
      </c>
      <c r="C5" s="25">
        <v>362693</v>
      </c>
      <c r="D5" s="17">
        <f t="shared" ref="D5:D19" si="0">(B5-C5)/C5*100</f>
        <v>16.349915768983685</v>
      </c>
      <c r="F5" s="22" t="s">
        <v>48</v>
      </c>
      <c r="G5" s="25">
        <v>509818</v>
      </c>
      <c r="H5" s="25">
        <v>421993</v>
      </c>
      <c r="I5" s="25">
        <v>362693</v>
      </c>
    </row>
    <row r="6" spans="1:9" x14ac:dyDescent="0.3">
      <c r="A6" s="22" t="s">
        <v>49</v>
      </c>
      <c r="B6" s="25">
        <v>5539</v>
      </c>
      <c r="C6" s="25">
        <v>5428</v>
      </c>
      <c r="D6" s="17">
        <f t="shared" si="0"/>
        <v>2.0449521002210758</v>
      </c>
      <c r="F6" s="22" t="s">
        <v>49</v>
      </c>
      <c r="G6" s="25">
        <v>4951</v>
      </c>
      <c r="H6" s="25">
        <v>5539</v>
      </c>
      <c r="I6" s="25">
        <v>5428</v>
      </c>
    </row>
    <row r="7" spans="1:9" x14ac:dyDescent="0.3">
      <c r="A7" s="22" t="s">
        <v>50</v>
      </c>
      <c r="B7" s="25">
        <v>3943</v>
      </c>
      <c r="C7" s="25">
        <v>3271</v>
      </c>
      <c r="D7" s="17">
        <f>(B7-C7)/C7*100</f>
        <v>20.544176092937942</v>
      </c>
      <c r="F7" s="22" t="s">
        <v>50</v>
      </c>
      <c r="G7" s="25">
        <v>3624</v>
      </c>
      <c r="H7" s="25">
        <v>3943</v>
      </c>
      <c r="I7" s="25">
        <v>3271</v>
      </c>
    </row>
    <row r="8" spans="1:9" x14ac:dyDescent="0.3">
      <c r="A8" s="22" t="s">
        <v>51</v>
      </c>
      <c r="B8" s="17">
        <v>0</v>
      </c>
      <c r="C8" s="17">
        <v>0</v>
      </c>
      <c r="D8" s="17"/>
      <c r="F8" s="22" t="s">
        <v>51</v>
      </c>
      <c r="G8" s="17">
        <v>0</v>
      </c>
      <c r="H8" s="17">
        <v>0</v>
      </c>
      <c r="I8" s="17">
        <v>0</v>
      </c>
    </row>
    <row r="9" spans="1:9" x14ac:dyDescent="0.3">
      <c r="A9" s="22" t="s">
        <v>53</v>
      </c>
      <c r="B9" s="25">
        <v>30624</v>
      </c>
      <c r="C9" s="25">
        <v>30624</v>
      </c>
      <c r="D9" s="17">
        <f t="shared" si="0"/>
        <v>0</v>
      </c>
      <c r="F9" s="22" t="s">
        <v>53</v>
      </c>
      <c r="G9" s="25">
        <v>624</v>
      </c>
      <c r="H9" s="25">
        <v>30624</v>
      </c>
      <c r="I9" s="17">
        <v>30624</v>
      </c>
    </row>
    <row r="10" spans="1:9" x14ac:dyDescent="0.3">
      <c r="A10" s="22" t="s">
        <v>54</v>
      </c>
      <c r="B10" s="25">
        <v>13268</v>
      </c>
      <c r="C10" s="25">
        <v>11963</v>
      </c>
      <c r="D10" s="17">
        <f t="shared" si="0"/>
        <v>10.908634957786509</v>
      </c>
      <c r="F10" s="22" t="s">
        <v>54</v>
      </c>
      <c r="G10" s="25">
        <v>12758</v>
      </c>
      <c r="H10" s="25">
        <v>13268</v>
      </c>
      <c r="I10" s="25">
        <v>11963</v>
      </c>
    </row>
    <row r="11" spans="1:9" x14ac:dyDescent="0.3">
      <c r="A11" s="22"/>
      <c r="B11" s="26">
        <f>SUM(B4:B10)</f>
        <v>561620</v>
      </c>
      <c r="C11" s="26">
        <f>SUM(C4:C10)</f>
        <v>490105</v>
      </c>
      <c r="D11" s="17">
        <f>(B11-C11)/C11*100</f>
        <v>14.591771151079872</v>
      </c>
      <c r="F11" s="22"/>
      <c r="G11" s="26">
        <f>SUM(G4:G10)</f>
        <v>646864</v>
      </c>
      <c r="H11" s="26">
        <f>SUM(H4:H10)</f>
        <v>561620</v>
      </c>
      <c r="I11" s="26">
        <f>SUM(I4:I10)</f>
        <v>490105</v>
      </c>
    </row>
    <row r="12" spans="1:9" x14ac:dyDescent="0.3">
      <c r="A12" s="21" t="s">
        <v>56</v>
      </c>
      <c r="B12" s="17"/>
      <c r="C12" s="17"/>
      <c r="D12" s="17"/>
      <c r="F12" s="21" t="s">
        <v>56</v>
      </c>
      <c r="G12" s="17"/>
      <c r="H12" s="17"/>
      <c r="I12" s="17"/>
    </row>
    <row r="13" spans="1:9" x14ac:dyDescent="0.3">
      <c r="A13" s="22" t="s">
        <v>57</v>
      </c>
      <c r="B13" s="25">
        <v>433232</v>
      </c>
      <c r="C13" s="25">
        <v>137302</v>
      </c>
      <c r="D13" s="17">
        <f t="shared" si="0"/>
        <v>215.53218452753785</v>
      </c>
      <c r="F13" s="22" t="s">
        <v>57</v>
      </c>
      <c r="G13" s="25">
        <v>288212</v>
      </c>
      <c r="H13" s="25">
        <v>433232</v>
      </c>
      <c r="I13" s="25">
        <v>137302</v>
      </c>
    </row>
    <row r="14" spans="1:9" x14ac:dyDescent="0.3">
      <c r="A14" s="22" t="s">
        <v>58</v>
      </c>
      <c r="B14" s="25">
        <v>65952</v>
      </c>
      <c r="C14" s="25">
        <v>56460</v>
      </c>
      <c r="D14" s="17">
        <f t="shared" si="0"/>
        <v>16.811902231668437</v>
      </c>
      <c r="F14" s="22" t="s">
        <v>58</v>
      </c>
      <c r="G14" s="25">
        <v>70429</v>
      </c>
      <c r="H14" s="25">
        <v>65952</v>
      </c>
      <c r="I14" s="25">
        <v>56460</v>
      </c>
    </row>
    <row r="15" spans="1:9" x14ac:dyDescent="0.3">
      <c r="A15" s="22" t="s">
        <v>74</v>
      </c>
      <c r="B15" s="25">
        <v>0</v>
      </c>
      <c r="C15" s="25">
        <v>0</v>
      </c>
      <c r="D15" s="17">
        <v>0</v>
      </c>
      <c r="F15" s="22" t="s">
        <v>59</v>
      </c>
      <c r="G15" s="25">
        <v>3072</v>
      </c>
      <c r="H15" s="25">
        <v>0</v>
      </c>
      <c r="I15" s="25">
        <v>1311</v>
      </c>
    </row>
    <row r="16" spans="1:9" x14ac:dyDescent="0.3">
      <c r="A16" s="22" t="s">
        <v>59</v>
      </c>
      <c r="B16" s="25">
        <v>0</v>
      </c>
      <c r="C16" s="25">
        <v>1311</v>
      </c>
      <c r="D16" s="17">
        <f t="shared" si="0"/>
        <v>-100</v>
      </c>
      <c r="F16" s="22" t="s">
        <v>60</v>
      </c>
      <c r="G16" s="25">
        <v>791040</v>
      </c>
      <c r="H16" s="25">
        <v>605315</v>
      </c>
      <c r="I16" s="25">
        <v>808853</v>
      </c>
    </row>
    <row r="17" spans="1:9" x14ac:dyDescent="0.3">
      <c r="A17" s="22" t="s">
        <v>60</v>
      </c>
      <c r="B17" s="25">
        <v>605315</v>
      </c>
      <c r="C17" s="25">
        <v>808853</v>
      </c>
      <c r="D17" s="17">
        <f t="shared" si="0"/>
        <v>-25.163781305132083</v>
      </c>
      <c r="F17" s="22"/>
      <c r="G17" s="25"/>
      <c r="H17" s="25"/>
      <c r="I17" s="25"/>
    </row>
    <row r="18" spans="1:9" x14ac:dyDescent="0.3">
      <c r="A18" s="22"/>
      <c r="B18" s="26">
        <f>SUM(B13:B17)</f>
        <v>1104499</v>
      </c>
      <c r="C18" s="26">
        <f>SUM(C13:C17)</f>
        <v>1003926</v>
      </c>
      <c r="D18" s="17">
        <f t="shared" si="0"/>
        <v>10.017969451931716</v>
      </c>
      <c r="F18" s="22"/>
      <c r="G18" s="26">
        <f>SUM(G13:G17)</f>
        <v>1152753</v>
      </c>
      <c r="H18" s="26">
        <f>SUM(H13:H17)</f>
        <v>1104499</v>
      </c>
      <c r="I18" s="26">
        <f>SUM(I13:I17)</f>
        <v>1003926</v>
      </c>
    </row>
    <row r="19" spans="1:9" x14ac:dyDescent="0.3">
      <c r="A19" s="139" t="s">
        <v>63</v>
      </c>
      <c r="B19" s="141">
        <f>B11+B18</f>
        <v>1666119</v>
      </c>
      <c r="C19" s="141">
        <f>SUM(C11+C18)</f>
        <v>1494031</v>
      </c>
      <c r="D19" s="140">
        <f t="shared" si="0"/>
        <v>11.51836876209396</v>
      </c>
      <c r="F19" s="139" t="s">
        <v>63</v>
      </c>
      <c r="G19" s="141">
        <f>G11+G18</f>
        <v>1799617</v>
      </c>
      <c r="H19" s="141">
        <f>H11+H18</f>
        <v>1666119</v>
      </c>
      <c r="I19" s="141">
        <f>SUM(I11+I18)</f>
        <v>1494031</v>
      </c>
    </row>
    <row r="21" spans="1:9" x14ac:dyDescent="0.3">
      <c r="A21" s="143" t="s">
        <v>44</v>
      </c>
      <c r="B21" s="142">
        <v>2024</v>
      </c>
      <c r="C21" s="142">
        <v>2023</v>
      </c>
      <c r="D21" s="142" t="s">
        <v>64</v>
      </c>
    </row>
    <row r="22" spans="1:9" x14ac:dyDescent="0.3">
      <c r="A22" s="21" t="s">
        <v>46</v>
      </c>
      <c r="B22" s="17"/>
      <c r="C22" s="17"/>
      <c r="D22" s="17"/>
    </row>
    <row r="23" spans="1:9" x14ac:dyDescent="0.3">
      <c r="A23" s="22" t="s">
        <v>47</v>
      </c>
      <c r="B23" s="25">
        <v>115089</v>
      </c>
      <c r="C23" s="25">
        <v>86253</v>
      </c>
      <c r="D23" s="17">
        <f>(B23-C23)/C23*100</f>
        <v>33.43188063023895</v>
      </c>
    </row>
    <row r="24" spans="1:9" x14ac:dyDescent="0.3">
      <c r="A24" s="22" t="s">
        <v>48</v>
      </c>
      <c r="B24" s="25">
        <v>509818</v>
      </c>
      <c r="C24" s="25">
        <v>421993</v>
      </c>
      <c r="D24" s="17">
        <f>(B24-C24)/C24*100</f>
        <v>20.811956596436435</v>
      </c>
    </row>
    <row r="25" spans="1:9" x14ac:dyDescent="0.3">
      <c r="A25" s="22" t="s">
        <v>75</v>
      </c>
      <c r="B25" s="25">
        <v>4951</v>
      </c>
      <c r="C25" s="25">
        <v>5539</v>
      </c>
      <c r="D25" s="17">
        <f>(B25-C25)/C25*100</f>
        <v>-10.615634591081422</v>
      </c>
    </row>
    <row r="26" spans="1:9" x14ac:dyDescent="0.3">
      <c r="A26" s="22" t="s">
        <v>50</v>
      </c>
      <c r="B26" s="25">
        <v>3246</v>
      </c>
      <c r="C26" s="25">
        <v>3943</v>
      </c>
      <c r="D26" s="17">
        <f>(B26-C26)/C26*100</f>
        <v>-17.676895764646208</v>
      </c>
    </row>
    <row r="27" spans="1:9" x14ac:dyDescent="0.3">
      <c r="A27" s="22" t="s">
        <v>51</v>
      </c>
      <c r="B27" s="17">
        <v>0</v>
      </c>
      <c r="C27" s="17">
        <v>0</v>
      </c>
      <c r="D27" s="17">
        <v>0</v>
      </c>
    </row>
    <row r="28" spans="1:9" x14ac:dyDescent="0.3">
      <c r="A28" s="22" t="s">
        <v>53</v>
      </c>
      <c r="B28" s="25">
        <v>624</v>
      </c>
      <c r="C28" s="25">
        <v>30624</v>
      </c>
      <c r="D28" s="17">
        <f>(B28-C28)/C28*100</f>
        <v>-97.96238244514106</v>
      </c>
    </row>
    <row r="29" spans="1:9" x14ac:dyDescent="0.3">
      <c r="A29" s="22" t="s">
        <v>54</v>
      </c>
      <c r="B29" s="25">
        <v>12758</v>
      </c>
      <c r="C29" s="25">
        <v>13268</v>
      </c>
      <c r="D29" s="17">
        <f>(B29-C29)/C29*100</f>
        <v>-3.8438347904733194</v>
      </c>
    </row>
    <row r="30" spans="1:9" x14ac:dyDescent="0.3">
      <c r="A30" s="22"/>
      <c r="B30" s="26">
        <f>SUM(B23:B29)</f>
        <v>646486</v>
      </c>
      <c r="C30" s="26">
        <f>SUM(C23:C29)</f>
        <v>561620</v>
      </c>
      <c r="D30" s="17">
        <f>(B30-C30)/C30*100</f>
        <v>15.110929097966597</v>
      </c>
    </row>
    <row r="31" spans="1:9" x14ac:dyDescent="0.3">
      <c r="A31" s="21" t="s">
        <v>56</v>
      </c>
      <c r="B31" s="17"/>
      <c r="C31" s="17"/>
      <c r="D31" s="17"/>
    </row>
    <row r="32" spans="1:9" x14ac:dyDescent="0.3">
      <c r="A32" s="22" t="s">
        <v>57</v>
      </c>
      <c r="B32" s="25">
        <v>288212</v>
      </c>
      <c r="C32" s="25">
        <v>433232</v>
      </c>
      <c r="D32" s="17">
        <f>(B32-C32)/C32*100</f>
        <v>-33.473981608006795</v>
      </c>
    </row>
    <row r="33" spans="1:4" x14ac:dyDescent="0.3">
      <c r="A33" s="22" t="s">
        <v>58</v>
      </c>
      <c r="B33" s="25">
        <v>70429</v>
      </c>
      <c r="C33" s="25">
        <v>65952</v>
      </c>
      <c r="D33" s="17">
        <f>(B33-C33)/C33*100</f>
        <v>6.7882702571567197</v>
      </c>
    </row>
    <row r="34" spans="1:4" x14ac:dyDescent="0.3">
      <c r="A34" s="22" t="s">
        <v>74</v>
      </c>
      <c r="B34" s="25">
        <v>0</v>
      </c>
      <c r="C34" s="25">
        <v>0</v>
      </c>
      <c r="D34" s="17">
        <v>0</v>
      </c>
    </row>
    <row r="35" spans="1:4" x14ac:dyDescent="0.3">
      <c r="A35" s="22" t="s">
        <v>53</v>
      </c>
      <c r="B35" s="25">
        <v>30000</v>
      </c>
      <c r="C35" s="25">
        <v>0</v>
      </c>
      <c r="D35" s="17" t="s">
        <v>76</v>
      </c>
    </row>
    <row r="36" spans="1:4" x14ac:dyDescent="0.3">
      <c r="A36" s="22" t="s">
        <v>59</v>
      </c>
      <c r="B36" s="25">
        <v>3072</v>
      </c>
      <c r="C36" s="25">
        <v>0</v>
      </c>
      <c r="D36" s="17" t="s">
        <v>76</v>
      </c>
    </row>
    <row r="37" spans="1:4" x14ac:dyDescent="0.3">
      <c r="A37" s="22" t="s">
        <v>60</v>
      </c>
      <c r="B37" s="25">
        <v>791040</v>
      </c>
      <c r="C37" s="25">
        <v>605315</v>
      </c>
      <c r="D37" s="17">
        <f>(B37-C37)/C37*100</f>
        <v>30.682371988138406</v>
      </c>
    </row>
    <row r="38" spans="1:4" x14ac:dyDescent="0.3">
      <c r="A38" s="22"/>
      <c r="B38" s="26">
        <f>SUM(B32:B37)</f>
        <v>1182753</v>
      </c>
      <c r="C38" s="26">
        <f>SUM(C32:C37)</f>
        <v>1104499</v>
      </c>
      <c r="D38" s="17"/>
    </row>
    <row r="39" spans="1:4" x14ac:dyDescent="0.3">
      <c r="A39" s="139" t="s">
        <v>63</v>
      </c>
      <c r="B39" s="141">
        <f>B30+B38</f>
        <v>1829239</v>
      </c>
      <c r="C39" s="141">
        <f>C30+C38</f>
        <v>1666119</v>
      </c>
      <c r="D39" s="140">
        <f>(B39-C39)/C39*100</f>
        <v>9.7904171310692689</v>
      </c>
    </row>
    <row r="42" spans="1:4" x14ac:dyDescent="0.3">
      <c r="A42" s="11" t="s">
        <v>65</v>
      </c>
    </row>
    <row r="43" spans="1:4" x14ac:dyDescent="0.3">
      <c r="A43" t="s">
        <v>77</v>
      </c>
    </row>
    <row r="44" spans="1:4" x14ac:dyDescent="0.3">
      <c r="A44" t="s">
        <v>78</v>
      </c>
    </row>
    <row r="45" spans="1:4" x14ac:dyDescent="0.3">
      <c r="A45" t="s">
        <v>79</v>
      </c>
    </row>
    <row r="47" spans="1:4" x14ac:dyDescent="0.3">
      <c r="A47" s="11" t="s">
        <v>69</v>
      </c>
    </row>
    <row r="48" spans="1:4" x14ac:dyDescent="0.3">
      <c r="A48" t="s">
        <v>60</v>
      </c>
    </row>
    <row r="49" spans="1:1" x14ac:dyDescent="0.3">
      <c r="A49" t="s">
        <v>48</v>
      </c>
    </row>
    <row r="50" spans="1:1" x14ac:dyDescent="0.3">
      <c r="A50" t="s">
        <v>54</v>
      </c>
    </row>
    <row r="52" spans="1:1" x14ac:dyDescent="0.3">
      <c r="A52" s="11" t="s">
        <v>73</v>
      </c>
    </row>
    <row r="53" spans="1:1" x14ac:dyDescent="0.3">
      <c r="A53" t="s">
        <v>57</v>
      </c>
    </row>
    <row r="54" spans="1:1" x14ac:dyDescent="0.3">
      <c r="A54" t="s">
        <v>47</v>
      </c>
    </row>
    <row r="55" spans="1:1" x14ac:dyDescent="0.3">
      <c r="A55" t="s">
        <v>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10627-EFD4-4AC2-A65A-B9460A599E12}">
  <dimension ref="B2:S88"/>
  <sheetViews>
    <sheetView zoomScale="71" zoomScaleNormal="60" workbookViewId="0">
      <selection activeCell="D9" sqref="D9"/>
    </sheetView>
  </sheetViews>
  <sheetFormatPr defaultRowHeight="14.4" x14ac:dyDescent="0.3"/>
  <cols>
    <col min="2" max="2" width="51.5546875" bestFit="1" customWidth="1"/>
    <col min="4" max="4" width="8.88671875" customWidth="1"/>
    <col min="5" max="5" width="18.88671875" customWidth="1"/>
    <col min="6" max="6" width="8.88671875" customWidth="1"/>
    <col min="7" max="7" width="56.44140625" bestFit="1" customWidth="1"/>
    <col min="8" max="8" width="87.44140625" bestFit="1" customWidth="1"/>
    <col min="9" max="9" width="12.6640625" bestFit="1" customWidth="1"/>
    <col min="10" max="10" width="56.44140625" bestFit="1" customWidth="1"/>
    <col min="13" max="13" width="19.5546875" customWidth="1"/>
    <col min="14" max="14" width="12" style="51" bestFit="1" customWidth="1"/>
    <col min="16" max="16" width="19.5546875" customWidth="1"/>
    <col min="17" max="17" width="13" bestFit="1" customWidth="1"/>
  </cols>
  <sheetData>
    <row r="2" spans="2:17" x14ac:dyDescent="0.3">
      <c r="B2" s="77" t="s">
        <v>80</v>
      </c>
      <c r="C2" s="78">
        <v>2024</v>
      </c>
      <c r="D2" s="78">
        <v>2023</v>
      </c>
      <c r="E2" s="78">
        <v>2022</v>
      </c>
      <c r="G2" s="234" t="s">
        <v>81</v>
      </c>
      <c r="H2" s="234"/>
      <c r="J2" s="77" t="s">
        <v>80</v>
      </c>
      <c r="K2" s="80">
        <v>2023</v>
      </c>
      <c r="L2" s="78">
        <v>2022</v>
      </c>
      <c r="M2" s="78" t="s">
        <v>82</v>
      </c>
      <c r="N2" s="80">
        <v>2024</v>
      </c>
      <c r="O2" s="78">
        <v>2023</v>
      </c>
      <c r="P2" s="78" t="s">
        <v>82</v>
      </c>
      <c r="Q2" s="80" t="s">
        <v>83</v>
      </c>
    </row>
    <row r="3" spans="2:17" s="11" customFormat="1" x14ac:dyDescent="0.3">
      <c r="B3" s="11" t="s">
        <v>84</v>
      </c>
      <c r="C3" s="12"/>
      <c r="D3" s="12"/>
      <c r="E3" s="12"/>
      <c r="G3" s="41" t="s">
        <v>85</v>
      </c>
      <c r="H3" s="55" t="s">
        <v>86</v>
      </c>
      <c r="J3" s="11" t="s">
        <v>84</v>
      </c>
      <c r="K3" s="45"/>
      <c r="L3" s="12"/>
      <c r="M3" s="12"/>
      <c r="N3" s="45"/>
      <c r="O3" s="12"/>
      <c r="P3" s="12"/>
      <c r="Q3" s="45"/>
    </row>
    <row r="4" spans="2:17" x14ac:dyDescent="0.3">
      <c r="B4" t="s">
        <v>87</v>
      </c>
      <c r="C4" s="14">
        <v>63081</v>
      </c>
      <c r="D4" s="14">
        <v>67598</v>
      </c>
      <c r="E4" s="14">
        <v>70173</v>
      </c>
      <c r="G4" s="35"/>
      <c r="H4" s="55" t="s">
        <v>88</v>
      </c>
      <c r="J4" t="s">
        <v>87</v>
      </c>
      <c r="K4" s="46">
        <v>67598</v>
      </c>
      <c r="L4" s="14">
        <v>70173</v>
      </c>
      <c r="M4" s="13">
        <f t="shared" ref="M4:M9" si="0">((K4-L4)/L4)*100</f>
        <v>-3.6695025152124034</v>
      </c>
      <c r="N4" s="46">
        <v>63081</v>
      </c>
      <c r="O4" s="14">
        <v>67598</v>
      </c>
      <c r="P4" s="13">
        <f t="shared" ref="P4:P9" si="1">((N4-O4)/O4)*100</f>
        <v>-6.6821503594780909</v>
      </c>
      <c r="Q4" s="53" t="s">
        <v>89</v>
      </c>
    </row>
    <row r="5" spans="2:17" x14ac:dyDescent="0.3">
      <c r="B5" t="s">
        <v>90</v>
      </c>
      <c r="C5" s="14">
        <v>2123</v>
      </c>
      <c r="D5" s="14">
        <v>5796</v>
      </c>
      <c r="E5" s="14">
        <v>5246</v>
      </c>
      <c r="G5" s="41" t="s">
        <v>91</v>
      </c>
      <c r="H5" s="131"/>
      <c r="J5" t="s">
        <v>90</v>
      </c>
      <c r="K5" s="46">
        <v>5796</v>
      </c>
      <c r="L5" s="14">
        <v>5246</v>
      </c>
      <c r="M5" s="13">
        <f t="shared" si="0"/>
        <v>10.484178421654594</v>
      </c>
      <c r="N5" s="46">
        <v>2123</v>
      </c>
      <c r="O5" s="14">
        <v>5796</v>
      </c>
      <c r="P5" s="13">
        <f t="shared" si="1"/>
        <v>-63.371290545203586</v>
      </c>
      <c r="Q5" s="54" t="s">
        <v>92</v>
      </c>
    </row>
    <row r="6" spans="2:17" x14ac:dyDescent="0.3">
      <c r="B6" t="s">
        <v>93</v>
      </c>
      <c r="C6" s="14">
        <v>64028</v>
      </c>
      <c r="D6" s="14">
        <v>52670</v>
      </c>
      <c r="E6" s="14">
        <v>42322</v>
      </c>
      <c r="G6" s="35" t="s">
        <v>93</v>
      </c>
      <c r="H6" s="131" t="s">
        <v>94</v>
      </c>
      <c r="J6" t="s">
        <v>93</v>
      </c>
      <c r="K6" s="46">
        <v>52670</v>
      </c>
      <c r="L6" s="14">
        <v>42322</v>
      </c>
      <c r="M6" s="13">
        <f t="shared" si="0"/>
        <v>24.45064032890695</v>
      </c>
      <c r="N6" s="46">
        <v>64028</v>
      </c>
      <c r="O6" s="14">
        <v>52670</v>
      </c>
      <c r="P6" s="13">
        <f t="shared" si="1"/>
        <v>21.56445794569964</v>
      </c>
      <c r="Q6" s="52" t="s">
        <v>95</v>
      </c>
    </row>
    <row r="7" spans="2:17" x14ac:dyDescent="0.3">
      <c r="B7" t="s">
        <v>96</v>
      </c>
      <c r="C7" s="14">
        <v>2037</v>
      </c>
      <c r="D7" s="14">
        <v>1518</v>
      </c>
      <c r="E7" s="14">
        <v>1113</v>
      </c>
      <c r="G7" s="35" t="s">
        <v>96</v>
      </c>
      <c r="H7" s="131" t="s">
        <v>97</v>
      </c>
      <c r="J7" t="s">
        <v>96</v>
      </c>
      <c r="K7" s="46">
        <v>1518</v>
      </c>
      <c r="L7" s="14">
        <v>1113</v>
      </c>
      <c r="M7" s="13">
        <f t="shared" si="0"/>
        <v>36.388140161725069</v>
      </c>
      <c r="N7" s="46">
        <v>2037</v>
      </c>
      <c r="O7" s="14">
        <v>1518</v>
      </c>
      <c r="P7" s="13">
        <f t="shared" si="1"/>
        <v>34.189723320158109</v>
      </c>
      <c r="Q7" s="52" t="s">
        <v>98</v>
      </c>
    </row>
    <row r="8" spans="2:17" x14ac:dyDescent="0.3">
      <c r="B8" t="s">
        <v>99</v>
      </c>
      <c r="C8" s="14">
        <v>5358</v>
      </c>
      <c r="D8" s="14">
        <v>5708</v>
      </c>
      <c r="E8" s="14">
        <v>5558</v>
      </c>
      <c r="G8" s="35" t="s">
        <v>100</v>
      </c>
      <c r="H8" s="131" t="s">
        <v>94</v>
      </c>
      <c r="J8" t="s">
        <v>99</v>
      </c>
      <c r="K8" s="46">
        <v>5708</v>
      </c>
      <c r="L8" s="14">
        <v>5558</v>
      </c>
      <c r="M8" s="13">
        <f t="shared" si="0"/>
        <v>2.6988125224901043</v>
      </c>
      <c r="N8" s="46">
        <v>5358</v>
      </c>
      <c r="O8" s="14">
        <v>5708</v>
      </c>
      <c r="P8" s="13">
        <f t="shared" si="1"/>
        <v>-6.1317449194113527</v>
      </c>
      <c r="Q8" s="83" t="s">
        <v>101</v>
      </c>
    </row>
    <row r="9" spans="2:17" x14ac:dyDescent="0.3">
      <c r="B9" s="12"/>
      <c r="C9" s="15">
        <f>SUM(C4:C8)</f>
        <v>136627</v>
      </c>
      <c r="D9" s="15">
        <f>SUM(D4:D8)</f>
        <v>133290</v>
      </c>
      <c r="E9" s="15">
        <f>SUM(E4:E8)</f>
        <v>124412</v>
      </c>
      <c r="G9" s="35" t="s">
        <v>99</v>
      </c>
      <c r="H9" s="131" t="s">
        <v>102</v>
      </c>
      <c r="J9" s="12"/>
      <c r="K9" s="47">
        <f>SUM(K4:K8)</f>
        <v>133290</v>
      </c>
      <c r="L9" s="15">
        <f>SUM(L4:L8)</f>
        <v>124412</v>
      </c>
      <c r="M9" s="13">
        <f t="shared" si="0"/>
        <v>7.1359675915506546</v>
      </c>
      <c r="N9" s="47">
        <f>SUM(N4:N8)</f>
        <v>136627</v>
      </c>
      <c r="O9" s="15">
        <f>SUM(O4:O8)</f>
        <v>133290</v>
      </c>
      <c r="P9" s="13">
        <f t="shared" si="1"/>
        <v>2.5035636581889111</v>
      </c>
      <c r="Q9" s="45"/>
    </row>
    <row r="10" spans="2:17" x14ac:dyDescent="0.3">
      <c r="B10" s="11" t="s">
        <v>103</v>
      </c>
      <c r="C10" s="14"/>
      <c r="D10" s="14"/>
      <c r="E10" s="14"/>
      <c r="G10" s="35"/>
      <c r="H10" s="131"/>
      <c r="J10" s="11" t="s">
        <v>103</v>
      </c>
      <c r="K10" s="46"/>
      <c r="L10" s="14"/>
      <c r="M10" s="13"/>
      <c r="N10" s="46"/>
      <c r="O10" s="14"/>
      <c r="P10" s="13"/>
      <c r="Q10" s="45"/>
    </row>
    <row r="11" spans="2:17" x14ac:dyDescent="0.3">
      <c r="B11" t="s">
        <v>104</v>
      </c>
      <c r="C11" s="14">
        <v>25870</v>
      </c>
      <c r="D11" s="14">
        <v>29232</v>
      </c>
      <c r="E11" s="14">
        <v>32953</v>
      </c>
      <c r="G11" s="41" t="s">
        <v>105</v>
      </c>
      <c r="H11" s="131"/>
      <c r="J11" t="s">
        <v>104</v>
      </c>
      <c r="K11" s="46">
        <v>29232</v>
      </c>
      <c r="L11" s="14">
        <v>32953</v>
      </c>
      <c r="M11" s="13">
        <f t="shared" ref="M11:M16" si="2">((K11-L11)/L11)*100</f>
        <v>-11.291839893181198</v>
      </c>
      <c r="N11" s="46">
        <v>25870</v>
      </c>
      <c r="O11" s="14">
        <v>29232</v>
      </c>
      <c r="P11" s="13">
        <f t="shared" ref="P11:P16" si="3">((N11-O11)/O11)*100</f>
        <v>-11.501094690749863</v>
      </c>
      <c r="Q11" s="53" t="s">
        <v>89</v>
      </c>
    </row>
    <row r="12" spans="2:17" x14ac:dyDescent="0.3">
      <c r="B12" t="s">
        <v>87</v>
      </c>
      <c r="C12" s="14">
        <v>13833</v>
      </c>
      <c r="D12" s="14">
        <v>22402</v>
      </c>
      <c r="E12" s="14">
        <v>10182</v>
      </c>
      <c r="G12" s="35" t="s">
        <v>104</v>
      </c>
      <c r="H12" s="131" t="s">
        <v>106</v>
      </c>
      <c r="J12" t="s">
        <v>87</v>
      </c>
      <c r="K12" s="46">
        <v>22402</v>
      </c>
      <c r="L12" s="14">
        <v>10182</v>
      </c>
      <c r="M12" s="13">
        <f t="shared" si="2"/>
        <v>120.01571400510704</v>
      </c>
      <c r="N12" s="46">
        <v>13833</v>
      </c>
      <c r="O12" s="14">
        <v>22402</v>
      </c>
      <c r="P12" s="13">
        <f t="shared" si="3"/>
        <v>-38.251049013480937</v>
      </c>
      <c r="Q12" s="54" t="s">
        <v>92</v>
      </c>
    </row>
    <row r="13" spans="2:17" x14ac:dyDescent="0.3">
      <c r="B13" t="s">
        <v>93</v>
      </c>
      <c r="C13" s="14">
        <v>29213</v>
      </c>
      <c r="D13" s="14">
        <v>25175</v>
      </c>
      <c r="E13" s="14">
        <v>20240</v>
      </c>
      <c r="G13" s="35" t="s">
        <v>107</v>
      </c>
      <c r="H13" s="131" t="s">
        <v>97</v>
      </c>
      <c r="J13" t="s">
        <v>93</v>
      </c>
      <c r="K13" s="46">
        <v>25175</v>
      </c>
      <c r="L13" s="14">
        <v>20240</v>
      </c>
      <c r="M13" s="13">
        <f t="shared" si="2"/>
        <v>24.382411067193676</v>
      </c>
      <c r="N13" s="46">
        <v>29213</v>
      </c>
      <c r="O13" s="14">
        <v>25175</v>
      </c>
      <c r="P13" s="13">
        <f t="shared" si="3"/>
        <v>16.039721946375373</v>
      </c>
      <c r="Q13" s="52" t="s">
        <v>95</v>
      </c>
    </row>
    <row r="14" spans="2:17" x14ac:dyDescent="0.3">
      <c r="B14" t="s">
        <v>96</v>
      </c>
      <c r="C14" s="14">
        <v>978</v>
      </c>
      <c r="D14" s="14">
        <v>702</v>
      </c>
      <c r="E14" s="14">
        <v>552</v>
      </c>
      <c r="G14" s="35" t="s">
        <v>108</v>
      </c>
      <c r="H14" s="131" t="s">
        <v>94</v>
      </c>
      <c r="J14" t="s">
        <v>96</v>
      </c>
      <c r="K14" s="46">
        <v>702</v>
      </c>
      <c r="L14" s="14">
        <v>552</v>
      </c>
      <c r="M14" s="13">
        <f t="shared" si="2"/>
        <v>27.173913043478258</v>
      </c>
      <c r="N14" s="46">
        <v>978</v>
      </c>
      <c r="O14" s="14">
        <v>702</v>
      </c>
      <c r="P14" s="13">
        <f t="shared" si="3"/>
        <v>39.316239316239319</v>
      </c>
      <c r="Q14" s="52" t="s">
        <v>98</v>
      </c>
    </row>
    <row r="15" spans="2:17" x14ac:dyDescent="0.3">
      <c r="B15" t="s">
        <v>108</v>
      </c>
      <c r="C15" s="14">
        <v>20360</v>
      </c>
      <c r="D15" s="14">
        <v>20776</v>
      </c>
      <c r="E15" s="14">
        <v>19645</v>
      </c>
      <c r="G15" s="35" t="s">
        <v>93</v>
      </c>
      <c r="H15" s="131" t="s">
        <v>109</v>
      </c>
      <c r="J15" t="s">
        <v>108</v>
      </c>
      <c r="K15" s="46">
        <v>20776</v>
      </c>
      <c r="L15" s="14">
        <v>19645</v>
      </c>
      <c r="M15" s="13">
        <f t="shared" si="2"/>
        <v>5.7571901247136674</v>
      </c>
      <c r="N15" s="46">
        <v>20360</v>
      </c>
      <c r="O15" s="14">
        <v>20776</v>
      </c>
      <c r="P15" s="13">
        <f t="shared" si="3"/>
        <v>-2.0023103581055062</v>
      </c>
      <c r="Q15" s="83" t="s">
        <v>101</v>
      </c>
    </row>
    <row r="16" spans="2:17" x14ac:dyDescent="0.3">
      <c r="B16" t="s">
        <v>110</v>
      </c>
      <c r="C16" s="14">
        <v>4342</v>
      </c>
      <c r="D16" s="14">
        <v>6801</v>
      </c>
      <c r="E16" s="14">
        <v>6302</v>
      </c>
      <c r="G16" s="35" t="s">
        <v>96</v>
      </c>
      <c r="H16" s="131" t="s">
        <v>102</v>
      </c>
      <c r="J16" t="s">
        <v>110</v>
      </c>
      <c r="K16" s="46">
        <v>6801</v>
      </c>
      <c r="L16" s="14">
        <v>6302</v>
      </c>
      <c r="M16" s="13">
        <f t="shared" si="2"/>
        <v>7.9181212313551255</v>
      </c>
      <c r="N16" s="46">
        <v>4342</v>
      </c>
      <c r="O16" s="14">
        <v>6801</v>
      </c>
      <c r="P16" s="13">
        <f t="shared" si="3"/>
        <v>-36.156447581238055</v>
      </c>
      <c r="Q16" s="54" t="s">
        <v>92</v>
      </c>
    </row>
    <row r="17" spans="2:19" x14ac:dyDescent="0.3">
      <c r="B17" t="s">
        <v>111</v>
      </c>
      <c r="C17" s="14" t="s">
        <v>112</v>
      </c>
      <c r="D17" s="6" t="s">
        <v>112</v>
      </c>
      <c r="E17" s="14">
        <v>8062</v>
      </c>
      <c r="G17" s="35" t="s">
        <v>110</v>
      </c>
      <c r="H17" s="131" t="s">
        <v>97</v>
      </c>
      <c r="J17" s="233" t="s">
        <v>111</v>
      </c>
      <c r="K17" s="46" t="s">
        <v>112</v>
      </c>
      <c r="L17" s="14">
        <v>8062</v>
      </c>
      <c r="M17" s="13" t="s">
        <v>112</v>
      </c>
      <c r="N17" s="46" t="s">
        <v>112</v>
      </c>
      <c r="O17" s="14" t="s">
        <v>112</v>
      </c>
      <c r="P17" s="13" t="s">
        <v>112</v>
      </c>
      <c r="Q17" s="83" t="s">
        <v>113</v>
      </c>
    </row>
    <row r="18" spans="2:19" x14ac:dyDescent="0.3">
      <c r="B18" s="12"/>
      <c r="C18" s="14">
        <f>SUM(C11:C16)</f>
        <v>94596</v>
      </c>
      <c r="D18" s="14">
        <f>SUM(D11:D16)</f>
        <v>105088</v>
      </c>
      <c r="E18" s="14">
        <f>SUM(E11:E17)</f>
        <v>97936</v>
      </c>
      <c r="G18" s="43" t="s">
        <v>111</v>
      </c>
      <c r="H18" s="132" t="s">
        <v>114</v>
      </c>
      <c r="J18" s="233"/>
      <c r="K18" s="3"/>
      <c r="N18" s="3"/>
      <c r="Q18" s="130"/>
    </row>
    <row r="19" spans="2:19" x14ac:dyDescent="0.3">
      <c r="B19" s="77" t="s">
        <v>115</v>
      </c>
      <c r="C19" s="79">
        <f>C9+C18</f>
        <v>231223</v>
      </c>
      <c r="D19" s="79">
        <f>D9+D18</f>
        <v>238378</v>
      </c>
      <c r="E19" s="79">
        <f>E9+E18</f>
        <v>222348</v>
      </c>
      <c r="G19" s="33"/>
      <c r="H19" s="33"/>
      <c r="J19" s="12"/>
      <c r="K19" s="47">
        <f>SUM(K11:K16)</f>
        <v>105088</v>
      </c>
      <c r="L19" s="15">
        <f>SUM(L11:L17)</f>
        <v>97936</v>
      </c>
      <c r="M19" s="13">
        <f>((K19-L19)/L19)*100</f>
        <v>7.3027283123672602</v>
      </c>
      <c r="N19" s="47">
        <f>SUM(N11:N16)</f>
        <v>94596</v>
      </c>
      <c r="O19" s="15">
        <f>SUM(O11:O16)</f>
        <v>105088</v>
      </c>
      <c r="P19" s="13">
        <f>((N19-O19)/O19)*100</f>
        <v>-9.9840133982947616</v>
      </c>
      <c r="Q19" s="45"/>
    </row>
    <row r="20" spans="2:19" x14ac:dyDescent="0.3">
      <c r="G20" s="134" t="s">
        <v>116</v>
      </c>
      <c r="H20" s="134" t="s">
        <v>117</v>
      </c>
      <c r="J20" s="77" t="s">
        <v>115</v>
      </c>
      <c r="K20" s="81">
        <f>K9+K19</f>
        <v>238378</v>
      </c>
      <c r="L20" s="79">
        <f>L9+L19</f>
        <v>222348</v>
      </c>
      <c r="M20" s="85">
        <f>((K20-L20)/L20)*100</f>
        <v>7.2094194685807826</v>
      </c>
      <c r="N20" s="81">
        <f>N9+N19</f>
        <v>231223</v>
      </c>
      <c r="O20" s="79">
        <f>O9+O19</f>
        <v>238378</v>
      </c>
      <c r="P20" s="85">
        <f>((N20-O20)/O20)*100</f>
        <v>-3.0015353765867654</v>
      </c>
      <c r="Q20" s="135" t="s">
        <v>92</v>
      </c>
    </row>
    <row r="21" spans="2:19" x14ac:dyDescent="0.3">
      <c r="B21" s="77" t="s">
        <v>80</v>
      </c>
      <c r="C21" s="78">
        <v>2023</v>
      </c>
      <c r="D21" s="78">
        <v>2022</v>
      </c>
      <c r="E21" s="78" t="s">
        <v>82</v>
      </c>
      <c r="G21" s="35" t="s">
        <v>118</v>
      </c>
      <c r="H21" s="55" t="s">
        <v>119</v>
      </c>
    </row>
    <row r="22" spans="2:19" x14ac:dyDescent="0.3">
      <c r="B22" s="11" t="s">
        <v>84</v>
      </c>
      <c r="C22" s="12"/>
      <c r="D22" s="12"/>
      <c r="E22" s="12"/>
      <c r="G22" s="34" t="s">
        <v>107</v>
      </c>
      <c r="H22" s="55" t="s">
        <v>120</v>
      </c>
    </row>
    <row r="23" spans="2:19" x14ac:dyDescent="0.3">
      <c r="B23" t="s">
        <v>87</v>
      </c>
      <c r="C23" s="14">
        <v>67598</v>
      </c>
      <c r="D23" s="14">
        <v>70173</v>
      </c>
      <c r="E23" s="13">
        <f>((C23-D23)/D23)*100</f>
        <v>-3.6695025152124034</v>
      </c>
      <c r="G23" s="133" t="s">
        <v>121</v>
      </c>
      <c r="H23" s="84" t="s">
        <v>122</v>
      </c>
    </row>
    <row r="24" spans="2:19" x14ac:dyDescent="0.3">
      <c r="B24" t="s">
        <v>90</v>
      </c>
      <c r="C24" s="14">
        <v>5796</v>
      </c>
      <c r="D24" s="14">
        <v>5246</v>
      </c>
      <c r="E24" s="13">
        <f t="shared" ref="E24:E38" si="4">((C24-D24)/D24)*100</f>
        <v>10.484178421654594</v>
      </c>
    </row>
    <row r="25" spans="2:19" x14ac:dyDescent="0.3">
      <c r="B25" t="s">
        <v>93</v>
      </c>
      <c r="C25" s="14">
        <v>52670</v>
      </c>
      <c r="D25" s="14">
        <v>42322</v>
      </c>
      <c r="E25" s="13">
        <f t="shared" si="4"/>
        <v>24.45064032890695</v>
      </c>
    </row>
    <row r="26" spans="2:19" x14ac:dyDescent="0.3">
      <c r="B26" t="s">
        <v>96</v>
      </c>
      <c r="C26" s="14">
        <v>1518</v>
      </c>
      <c r="D26" s="14">
        <v>1113</v>
      </c>
      <c r="E26" s="13">
        <f t="shared" si="4"/>
        <v>36.388140161725069</v>
      </c>
    </row>
    <row r="27" spans="2:19" x14ac:dyDescent="0.3">
      <c r="B27" t="s">
        <v>99</v>
      </c>
      <c r="C27" s="14">
        <v>5708</v>
      </c>
      <c r="D27" s="14">
        <v>5558</v>
      </c>
      <c r="E27" s="13">
        <f t="shared" si="4"/>
        <v>2.6988125224901043</v>
      </c>
    </row>
    <row r="28" spans="2:19" x14ac:dyDescent="0.3">
      <c r="B28" s="12"/>
      <c r="C28" s="15">
        <f>SUM(C23:C27)</f>
        <v>133290</v>
      </c>
      <c r="D28" s="15">
        <f>SUM(D23:D27)</f>
        <v>124412</v>
      </c>
      <c r="E28" s="13">
        <f t="shared" si="4"/>
        <v>7.1359675915506546</v>
      </c>
    </row>
    <row r="29" spans="2:19" x14ac:dyDescent="0.3">
      <c r="B29" s="11" t="s">
        <v>103</v>
      </c>
      <c r="C29" s="14"/>
      <c r="D29" s="14"/>
      <c r="E29" s="13"/>
    </row>
    <row r="30" spans="2:19" x14ac:dyDescent="0.3">
      <c r="B30" t="s">
        <v>104</v>
      </c>
      <c r="C30" s="14">
        <v>29232</v>
      </c>
      <c r="D30" s="14">
        <v>32953</v>
      </c>
      <c r="E30" s="13">
        <f t="shared" si="4"/>
        <v>-11.291839893181198</v>
      </c>
    </row>
    <row r="31" spans="2:19" x14ac:dyDescent="0.3">
      <c r="B31" t="s">
        <v>87</v>
      </c>
      <c r="C31" s="14">
        <v>22402</v>
      </c>
      <c r="D31" s="14">
        <v>10182</v>
      </c>
      <c r="E31" s="13">
        <f t="shared" si="4"/>
        <v>120.01571400510704</v>
      </c>
      <c r="S31" t="s">
        <v>123</v>
      </c>
    </row>
    <row r="32" spans="2:19" x14ac:dyDescent="0.3">
      <c r="B32" t="s">
        <v>93</v>
      </c>
      <c r="C32" s="14">
        <v>25175</v>
      </c>
      <c r="D32" s="14">
        <v>20240</v>
      </c>
      <c r="E32" s="13">
        <f t="shared" si="4"/>
        <v>24.382411067193676</v>
      </c>
    </row>
    <row r="33" spans="2:14" x14ac:dyDescent="0.3">
      <c r="B33" t="s">
        <v>96</v>
      </c>
      <c r="C33" s="14">
        <v>702</v>
      </c>
      <c r="D33" s="14">
        <v>552</v>
      </c>
      <c r="E33" s="13">
        <f t="shared" si="4"/>
        <v>27.173913043478258</v>
      </c>
    </row>
    <row r="34" spans="2:14" x14ac:dyDescent="0.3">
      <c r="B34" t="s">
        <v>108</v>
      </c>
      <c r="C34" s="14">
        <v>20776</v>
      </c>
      <c r="D34" s="14">
        <v>19645</v>
      </c>
      <c r="E34" s="13">
        <f t="shared" si="4"/>
        <v>5.7571901247136674</v>
      </c>
    </row>
    <row r="35" spans="2:14" x14ac:dyDescent="0.3">
      <c r="B35" t="s">
        <v>110</v>
      </c>
      <c r="C35" s="14">
        <v>6801</v>
      </c>
      <c r="D35" s="14">
        <v>6302</v>
      </c>
      <c r="E35" s="13">
        <f t="shared" si="4"/>
        <v>7.9181212313551255</v>
      </c>
    </row>
    <row r="36" spans="2:14" x14ac:dyDescent="0.3">
      <c r="B36" t="s">
        <v>111</v>
      </c>
      <c r="C36" s="14" t="s">
        <v>112</v>
      </c>
      <c r="D36" s="14">
        <v>8062</v>
      </c>
      <c r="E36" s="13" t="s">
        <v>112</v>
      </c>
    </row>
    <row r="37" spans="2:14" x14ac:dyDescent="0.3">
      <c r="B37" s="12"/>
      <c r="C37" s="15">
        <f>SUM(C30:C35)</f>
        <v>105088</v>
      </c>
      <c r="D37" s="15">
        <f>SUM(D30:D36)</f>
        <v>97936</v>
      </c>
      <c r="E37" s="13">
        <f t="shared" si="4"/>
        <v>7.3027283123672602</v>
      </c>
    </row>
    <row r="38" spans="2:14" x14ac:dyDescent="0.3">
      <c r="B38" s="77" t="s">
        <v>115</v>
      </c>
      <c r="C38" s="79">
        <f>C28+C37</f>
        <v>238378</v>
      </c>
      <c r="D38" s="79">
        <f>D28+D37</f>
        <v>222348</v>
      </c>
      <c r="E38" s="85">
        <f t="shared" si="4"/>
        <v>7.2094194685807826</v>
      </c>
    </row>
    <row r="39" spans="2:14" x14ac:dyDescent="0.3">
      <c r="G39" s="11"/>
      <c r="H39" s="75"/>
      <c r="I39" s="75"/>
      <c r="J39" s="75"/>
      <c r="K39" s="75"/>
      <c r="L39" s="75"/>
      <c r="M39" s="75"/>
      <c r="N39" s="75"/>
    </row>
    <row r="40" spans="2:14" x14ac:dyDescent="0.3">
      <c r="B40" s="77" t="s">
        <v>80</v>
      </c>
      <c r="C40" s="78">
        <v>2024</v>
      </c>
      <c r="D40" s="78">
        <v>2023</v>
      </c>
      <c r="E40" s="78" t="s">
        <v>82</v>
      </c>
      <c r="G40" s="11"/>
      <c r="H40" s="12"/>
      <c r="I40" s="12"/>
      <c r="J40" s="12"/>
      <c r="K40" s="12"/>
      <c r="L40" s="12"/>
      <c r="M40" s="12"/>
      <c r="N40" s="12"/>
    </row>
    <row r="41" spans="2:14" x14ac:dyDescent="0.3">
      <c r="B41" s="11" t="s">
        <v>84</v>
      </c>
      <c r="C41" s="12"/>
      <c r="D41" s="12"/>
      <c r="E41" s="12"/>
      <c r="H41" s="14"/>
      <c r="I41" s="14"/>
      <c r="J41" s="13"/>
      <c r="K41" s="14"/>
      <c r="L41" s="14"/>
      <c r="M41" s="13"/>
    </row>
    <row r="42" spans="2:14" x14ac:dyDescent="0.3">
      <c r="B42" t="s">
        <v>87</v>
      </c>
      <c r="C42" s="14">
        <v>63081</v>
      </c>
      <c r="D42" s="14">
        <v>67598</v>
      </c>
      <c r="E42" s="13">
        <f>((C42-D42)/D42)*100</f>
        <v>-6.6821503594780909</v>
      </c>
      <c r="H42" s="14"/>
      <c r="I42" s="14"/>
      <c r="J42" s="13"/>
      <c r="K42" s="14"/>
      <c r="L42" s="14"/>
      <c r="M42" s="13"/>
    </row>
    <row r="43" spans="2:14" x14ac:dyDescent="0.3">
      <c r="B43" t="s">
        <v>90</v>
      </c>
      <c r="C43" s="14">
        <v>2123</v>
      </c>
      <c r="D43" s="14">
        <v>5796</v>
      </c>
      <c r="E43" s="13">
        <f t="shared" ref="E43:E57" si="5">((C43-D43)/D43)*100</f>
        <v>-63.371290545203586</v>
      </c>
      <c r="H43" s="14"/>
      <c r="I43" s="14"/>
      <c r="J43" s="13"/>
      <c r="K43" s="14"/>
      <c r="L43" s="14"/>
      <c r="M43" s="13"/>
    </row>
    <row r="44" spans="2:14" x14ac:dyDescent="0.3">
      <c r="B44" t="s">
        <v>93</v>
      </c>
      <c r="C44" s="14">
        <v>64028</v>
      </c>
      <c r="D44" s="14">
        <v>52670</v>
      </c>
      <c r="E44" s="13">
        <f t="shared" si="5"/>
        <v>21.56445794569964</v>
      </c>
      <c r="I44" s="14"/>
      <c r="J44" s="13"/>
      <c r="K44" s="14"/>
      <c r="L44" s="14"/>
      <c r="M44" s="13"/>
    </row>
    <row r="45" spans="2:14" x14ac:dyDescent="0.3">
      <c r="B45" t="s">
        <v>96</v>
      </c>
      <c r="C45" s="14">
        <v>2037</v>
      </c>
      <c r="D45" s="14">
        <v>1518</v>
      </c>
      <c r="E45" s="13">
        <f t="shared" si="5"/>
        <v>34.189723320158109</v>
      </c>
      <c r="I45" s="14"/>
      <c r="J45" s="13"/>
      <c r="K45" s="14"/>
      <c r="L45" s="14"/>
      <c r="M45" s="13"/>
      <c r="N45" s="12"/>
    </row>
    <row r="46" spans="2:14" x14ac:dyDescent="0.3">
      <c r="B46" t="s">
        <v>99</v>
      </c>
      <c r="C46" s="14">
        <v>5358</v>
      </c>
      <c r="D46" s="14">
        <v>5708</v>
      </c>
      <c r="E46" s="13">
        <f t="shared" si="5"/>
        <v>-6.1317449194113527</v>
      </c>
      <c r="I46" s="15"/>
      <c r="J46" s="13"/>
      <c r="K46" s="15"/>
      <c r="L46" s="15"/>
      <c r="M46" s="13"/>
      <c r="N46" s="12"/>
    </row>
    <row r="47" spans="2:14" x14ac:dyDescent="0.3">
      <c r="B47" s="12"/>
      <c r="C47" s="15">
        <f>SUM(C42:C46)</f>
        <v>136627</v>
      </c>
      <c r="D47" s="15">
        <f>SUM(D42:D46)</f>
        <v>133290</v>
      </c>
      <c r="E47" s="13">
        <f t="shared" si="5"/>
        <v>2.5035636581889111</v>
      </c>
      <c r="I47" s="14"/>
      <c r="J47" s="13"/>
      <c r="K47" s="14"/>
      <c r="L47" s="14"/>
      <c r="M47" s="13"/>
      <c r="N47" s="12"/>
    </row>
    <row r="48" spans="2:14" x14ac:dyDescent="0.3">
      <c r="B48" s="11" t="s">
        <v>103</v>
      </c>
      <c r="C48" s="14"/>
      <c r="D48" s="14"/>
      <c r="E48" s="13"/>
      <c r="I48" s="14"/>
      <c r="J48" s="13"/>
      <c r="K48" s="14"/>
      <c r="L48" s="14"/>
      <c r="M48" s="13"/>
    </row>
    <row r="49" spans="2:14" x14ac:dyDescent="0.3">
      <c r="B49" t="s">
        <v>104</v>
      </c>
      <c r="C49" s="14">
        <v>25870</v>
      </c>
      <c r="D49" s="14">
        <v>29232</v>
      </c>
      <c r="E49" s="13">
        <f t="shared" si="5"/>
        <v>-11.501094690749863</v>
      </c>
      <c r="I49" s="14"/>
      <c r="J49" s="13"/>
      <c r="K49" s="14"/>
      <c r="L49" s="14"/>
      <c r="M49" s="13"/>
    </row>
    <row r="50" spans="2:14" x14ac:dyDescent="0.3">
      <c r="B50" t="s">
        <v>87</v>
      </c>
      <c r="C50" s="14">
        <v>13833</v>
      </c>
      <c r="D50" s="14">
        <v>22402</v>
      </c>
      <c r="E50" s="13">
        <f t="shared" si="5"/>
        <v>-38.251049013480937</v>
      </c>
      <c r="I50" s="14"/>
      <c r="J50" s="13"/>
      <c r="K50" s="14"/>
      <c r="L50" s="14"/>
      <c r="M50" s="13"/>
    </row>
    <row r="51" spans="2:14" x14ac:dyDescent="0.3">
      <c r="B51" t="s">
        <v>93</v>
      </c>
      <c r="C51" s="14">
        <v>29213</v>
      </c>
      <c r="D51" s="14">
        <v>25175</v>
      </c>
      <c r="E51" s="13">
        <f t="shared" si="5"/>
        <v>16.039721946375373</v>
      </c>
      <c r="I51" s="14"/>
      <c r="J51" s="13"/>
      <c r="K51" s="14"/>
      <c r="L51" s="14"/>
      <c r="M51" s="13"/>
    </row>
    <row r="52" spans="2:14" x14ac:dyDescent="0.3">
      <c r="B52" t="s">
        <v>96</v>
      </c>
      <c r="C52" s="14">
        <v>978</v>
      </c>
      <c r="D52" s="14">
        <v>702</v>
      </c>
      <c r="E52" s="13">
        <f t="shared" si="5"/>
        <v>39.316239316239319</v>
      </c>
      <c r="I52" s="14"/>
      <c r="J52" s="13"/>
      <c r="K52" s="14"/>
      <c r="L52" s="14"/>
      <c r="M52" s="13"/>
      <c r="N52" s="12"/>
    </row>
    <row r="53" spans="2:14" x14ac:dyDescent="0.3">
      <c r="B53" t="s">
        <v>108</v>
      </c>
      <c r="C53" s="14">
        <v>20360</v>
      </c>
      <c r="D53" s="14">
        <v>20776</v>
      </c>
      <c r="E53" s="13">
        <f t="shared" si="5"/>
        <v>-2.0023103581055062</v>
      </c>
      <c r="I53" s="14"/>
      <c r="J53" s="13"/>
      <c r="K53" s="14"/>
      <c r="L53" s="14"/>
      <c r="M53" s="13"/>
    </row>
    <row r="54" spans="2:14" x14ac:dyDescent="0.3">
      <c r="B54" t="s">
        <v>110</v>
      </c>
      <c r="C54" s="14">
        <v>4342</v>
      </c>
      <c r="D54" s="14">
        <v>6801</v>
      </c>
      <c r="E54" s="13">
        <f t="shared" si="5"/>
        <v>-36.156447581238055</v>
      </c>
      <c r="I54" s="15"/>
      <c r="J54" s="13"/>
      <c r="K54" s="15"/>
      <c r="L54" s="15"/>
      <c r="M54" s="13"/>
      <c r="N54" s="12"/>
    </row>
    <row r="55" spans="2:14" x14ac:dyDescent="0.3">
      <c r="B55" t="s">
        <v>111</v>
      </c>
      <c r="C55" s="14" t="s">
        <v>112</v>
      </c>
      <c r="D55" s="14" t="s">
        <v>112</v>
      </c>
      <c r="E55" s="13" t="s">
        <v>112</v>
      </c>
      <c r="I55" s="15"/>
      <c r="J55" s="13"/>
      <c r="K55" s="15"/>
      <c r="L55" s="15"/>
      <c r="M55" s="13"/>
      <c r="N55" s="12"/>
    </row>
    <row r="56" spans="2:14" x14ac:dyDescent="0.3">
      <c r="B56" s="12"/>
      <c r="C56" s="15">
        <f>SUM(C49:C54)</f>
        <v>94596</v>
      </c>
      <c r="D56" s="15">
        <f>SUM(D49:D54)</f>
        <v>105088</v>
      </c>
      <c r="E56" s="13">
        <f t="shared" si="5"/>
        <v>-9.9840133982947616</v>
      </c>
      <c r="I56" s="15"/>
      <c r="J56" s="76"/>
      <c r="K56" s="15"/>
      <c r="L56" s="15"/>
      <c r="M56" s="76"/>
      <c r="N56" s="75"/>
    </row>
    <row r="57" spans="2:14" x14ac:dyDescent="0.3">
      <c r="B57" s="77" t="s">
        <v>115</v>
      </c>
      <c r="C57" s="79">
        <f>C47+C56</f>
        <v>231223</v>
      </c>
      <c r="D57" s="79">
        <f>D47+D56</f>
        <v>238378</v>
      </c>
      <c r="E57" s="85">
        <f t="shared" si="5"/>
        <v>-3.0015353765867654</v>
      </c>
    </row>
    <row r="70" spans="2:9" customFormat="1" x14ac:dyDescent="0.3">
      <c r="B70" s="11"/>
      <c r="C70" s="75"/>
      <c r="D70" s="75"/>
      <c r="E70" s="75"/>
      <c r="F70" s="75"/>
      <c r="G70" s="75"/>
      <c r="H70" s="75"/>
      <c r="I70" s="75"/>
    </row>
    <row r="71" spans="2:9" customFormat="1" x14ac:dyDescent="0.3">
      <c r="B71" s="11"/>
      <c r="C71" s="12"/>
      <c r="D71" s="12"/>
      <c r="E71" s="12"/>
      <c r="F71" s="12"/>
      <c r="G71" s="12"/>
      <c r="H71" s="12"/>
      <c r="I71" s="12"/>
    </row>
    <row r="72" spans="2:9" customFormat="1" x14ac:dyDescent="0.3">
      <c r="C72" s="14"/>
      <c r="D72" s="14"/>
      <c r="E72" s="13"/>
      <c r="F72" s="14"/>
      <c r="G72" s="14"/>
      <c r="H72" s="13"/>
      <c r="I72" s="51"/>
    </row>
    <row r="73" spans="2:9" customFormat="1" x14ac:dyDescent="0.3">
      <c r="C73" s="14"/>
      <c r="D73" s="14"/>
      <c r="E73" s="13"/>
      <c r="F73" s="14"/>
      <c r="G73" s="14"/>
      <c r="H73" s="13"/>
      <c r="I73" s="51"/>
    </row>
    <row r="74" spans="2:9" customFormat="1" x14ac:dyDescent="0.3">
      <c r="C74" s="14"/>
      <c r="D74" s="14"/>
      <c r="E74" s="13"/>
      <c r="F74" s="14"/>
      <c r="G74" s="14"/>
      <c r="H74" s="13"/>
      <c r="I74" s="51"/>
    </row>
    <row r="75" spans="2:9" customFormat="1" x14ac:dyDescent="0.3">
      <c r="C75" s="14"/>
      <c r="D75" s="14"/>
      <c r="E75" s="13"/>
      <c r="F75" s="14"/>
      <c r="G75" s="14"/>
      <c r="H75" s="13"/>
      <c r="I75" s="51"/>
    </row>
    <row r="76" spans="2:9" customFormat="1" x14ac:dyDescent="0.3">
      <c r="C76" s="14"/>
      <c r="D76" s="14"/>
      <c r="E76" s="13"/>
      <c r="F76" s="14"/>
      <c r="G76" s="14"/>
      <c r="H76" s="13"/>
      <c r="I76" s="12"/>
    </row>
    <row r="77" spans="2:9" customFormat="1" x14ac:dyDescent="0.3">
      <c r="B77" s="12"/>
      <c r="C77" s="15"/>
      <c r="D77" s="15"/>
      <c r="E77" s="13"/>
      <c r="F77" s="15"/>
      <c r="G77" s="15"/>
      <c r="H77" s="13"/>
      <c r="I77" s="12"/>
    </row>
    <row r="78" spans="2:9" customFormat="1" x14ac:dyDescent="0.3">
      <c r="B78" s="11"/>
      <c r="C78" s="14"/>
      <c r="D78" s="14"/>
      <c r="E78" s="13"/>
      <c r="F78" s="14"/>
      <c r="G78" s="14"/>
      <c r="H78" s="13"/>
      <c r="I78" s="12"/>
    </row>
    <row r="79" spans="2:9" customFormat="1" x14ac:dyDescent="0.3">
      <c r="C79" s="14"/>
      <c r="D79" s="14"/>
      <c r="E79" s="13"/>
      <c r="F79" s="14"/>
      <c r="G79" s="14"/>
      <c r="H79" s="13"/>
      <c r="I79" s="51"/>
    </row>
    <row r="80" spans="2:9" customFormat="1" x14ac:dyDescent="0.3">
      <c r="C80" s="14"/>
      <c r="D80" s="14"/>
      <c r="E80" s="13"/>
      <c r="F80" s="14"/>
      <c r="G80" s="14"/>
      <c r="H80" s="13"/>
      <c r="I80" s="51"/>
    </row>
    <row r="81" spans="2:9" customFormat="1" x14ac:dyDescent="0.3">
      <c r="C81" s="14"/>
      <c r="D81" s="14"/>
      <c r="E81" s="13"/>
      <c r="F81" s="14"/>
      <c r="G81" s="14"/>
      <c r="H81" s="13"/>
      <c r="I81" s="51"/>
    </row>
    <row r="82" spans="2:9" customFormat="1" x14ac:dyDescent="0.3">
      <c r="C82" s="14"/>
      <c r="D82" s="14"/>
      <c r="E82" s="13"/>
      <c r="F82" s="14"/>
      <c r="G82" s="14"/>
      <c r="H82" s="13"/>
      <c r="I82" s="51"/>
    </row>
    <row r="83" spans="2:9" customFormat="1" x14ac:dyDescent="0.3">
      <c r="C83" s="14"/>
      <c r="D83" s="14"/>
      <c r="E83" s="13"/>
      <c r="F83" s="14"/>
      <c r="G83" s="14"/>
      <c r="H83" s="13"/>
      <c r="I83" s="12"/>
    </row>
    <row r="84" spans="2:9" customFormat="1" x14ac:dyDescent="0.3">
      <c r="C84" s="14"/>
      <c r="D84" s="14"/>
      <c r="E84" s="13"/>
      <c r="F84" s="14"/>
      <c r="G84" s="14"/>
      <c r="H84" s="13"/>
      <c r="I84" s="51"/>
    </row>
    <row r="85" spans="2:9" customFormat="1" x14ac:dyDescent="0.3">
      <c r="B85" s="233"/>
      <c r="C85" s="14"/>
      <c r="D85" s="14"/>
      <c r="E85" s="13"/>
      <c r="F85" s="14"/>
      <c r="G85" s="14"/>
      <c r="H85" s="13"/>
      <c r="I85" s="12"/>
    </row>
    <row r="86" spans="2:9" customFormat="1" x14ac:dyDescent="0.3">
      <c r="B86" s="233"/>
      <c r="I86" s="51"/>
    </row>
    <row r="87" spans="2:9" customFormat="1" x14ac:dyDescent="0.3">
      <c r="B87" s="12"/>
      <c r="C87" s="15"/>
      <c r="D87" s="15"/>
      <c r="E87" s="13"/>
      <c r="F87" s="15"/>
      <c r="G87" s="15"/>
      <c r="H87" s="13"/>
      <c r="I87" s="12"/>
    </row>
    <row r="88" spans="2:9" customFormat="1" x14ac:dyDescent="0.3">
      <c r="B88" s="11"/>
      <c r="C88" s="15"/>
      <c r="D88" s="15"/>
      <c r="E88" s="76"/>
      <c r="F88" s="15"/>
      <c r="G88" s="15"/>
      <c r="H88" s="76"/>
      <c r="I88" s="51"/>
    </row>
  </sheetData>
  <mergeCells count="3">
    <mergeCell ref="B85:B86"/>
    <mergeCell ref="G2:H2"/>
    <mergeCell ref="J17:J18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EA168-71F7-484D-85F7-3FF04125A092}">
  <dimension ref="A2:P51"/>
  <sheetViews>
    <sheetView zoomScale="63" workbookViewId="0">
      <selection activeCell="I33" sqref="I33"/>
    </sheetView>
  </sheetViews>
  <sheetFormatPr defaultRowHeight="14.4" x14ac:dyDescent="0.3"/>
  <cols>
    <col min="1" max="1" width="26.5546875" customWidth="1"/>
    <col min="2" max="3" width="13.6640625" customWidth="1"/>
    <col min="4" max="4" width="16" customWidth="1"/>
    <col min="6" max="6" width="28.5546875" style="33" customWidth="1"/>
    <col min="7" max="7" width="105.33203125" style="33" customWidth="1"/>
    <col min="9" max="9" width="30.33203125" customWidth="1"/>
    <col min="12" max="12" width="14.6640625" customWidth="1"/>
    <col min="15" max="15" width="14.6640625" customWidth="1"/>
    <col min="16" max="16" width="13.33203125" customWidth="1"/>
  </cols>
  <sheetData>
    <row r="2" spans="1:16" x14ac:dyDescent="0.3">
      <c r="A2" s="28" t="s">
        <v>80</v>
      </c>
      <c r="B2" s="213">
        <v>2024</v>
      </c>
      <c r="C2" s="213">
        <v>2023</v>
      </c>
      <c r="D2" s="214">
        <v>2022</v>
      </c>
      <c r="F2" s="235" t="s">
        <v>124</v>
      </c>
      <c r="G2" s="235"/>
      <c r="I2" s="56" t="s">
        <v>80</v>
      </c>
      <c r="J2" s="58">
        <v>2023</v>
      </c>
      <c r="K2" s="59">
        <v>2022</v>
      </c>
      <c r="L2" s="59" t="s">
        <v>82</v>
      </c>
      <c r="M2" s="58">
        <v>2024</v>
      </c>
      <c r="N2" s="59">
        <v>2023</v>
      </c>
      <c r="O2" s="59" t="s">
        <v>82</v>
      </c>
      <c r="P2" s="67" t="s">
        <v>83</v>
      </c>
    </row>
    <row r="3" spans="1:16" x14ac:dyDescent="0.3">
      <c r="A3" s="1" t="s">
        <v>84</v>
      </c>
      <c r="D3" s="2"/>
      <c r="F3" s="235" t="s">
        <v>81</v>
      </c>
      <c r="G3" s="235"/>
      <c r="I3" s="1" t="s">
        <v>84</v>
      </c>
      <c r="J3" s="3"/>
      <c r="M3" s="3"/>
      <c r="P3" s="68"/>
    </row>
    <row r="4" spans="1:16" x14ac:dyDescent="0.3">
      <c r="A4" s="3" t="s">
        <v>93</v>
      </c>
      <c r="B4" s="4">
        <v>440132</v>
      </c>
      <c r="C4" s="4">
        <v>366917</v>
      </c>
      <c r="D4" s="8">
        <v>317510</v>
      </c>
      <c r="F4" s="39" t="s">
        <v>85</v>
      </c>
      <c r="G4" s="40" t="s">
        <v>125</v>
      </c>
      <c r="I4" s="3" t="s">
        <v>93</v>
      </c>
      <c r="J4" s="60">
        <v>366917</v>
      </c>
      <c r="K4" s="4">
        <v>317510</v>
      </c>
      <c r="L4" s="64">
        <f>((J4-K4)/K4)*100</f>
        <v>15.560769739535763</v>
      </c>
      <c r="M4" s="60">
        <v>440132</v>
      </c>
      <c r="N4" s="4">
        <v>366917</v>
      </c>
      <c r="O4" s="64">
        <f>((M4-N4)/N4)*100</f>
        <v>19.954104061681523</v>
      </c>
      <c r="P4" s="69" t="s">
        <v>95</v>
      </c>
    </row>
    <row r="5" spans="1:16" x14ac:dyDescent="0.3">
      <c r="A5" s="3" t="s">
        <v>96</v>
      </c>
      <c r="B5" s="4">
        <v>7529</v>
      </c>
      <c r="C5" s="4">
        <v>11450</v>
      </c>
      <c r="D5" s="8">
        <v>7826</v>
      </c>
      <c r="F5" s="35"/>
      <c r="G5" s="2" t="s">
        <v>126</v>
      </c>
      <c r="I5" s="3" t="s">
        <v>96</v>
      </c>
      <c r="J5" s="60">
        <v>11450</v>
      </c>
      <c r="K5" s="4">
        <v>7826</v>
      </c>
      <c r="L5" s="64">
        <f>((J5-K5)/K5)*100</f>
        <v>46.307181190902121</v>
      </c>
      <c r="M5" s="60">
        <v>7529</v>
      </c>
      <c r="N5" s="4">
        <v>11450</v>
      </c>
      <c r="O5" s="64">
        <f>((M5-N5)/N5)*100</f>
        <v>-34.244541484716159</v>
      </c>
      <c r="P5" s="70" t="s">
        <v>92</v>
      </c>
    </row>
    <row r="6" spans="1:16" x14ac:dyDescent="0.3">
      <c r="A6" s="3" t="s">
        <v>100</v>
      </c>
      <c r="B6">
        <v>65</v>
      </c>
      <c r="C6">
        <v>58</v>
      </c>
      <c r="D6" s="2">
        <v>53</v>
      </c>
      <c r="F6" s="34"/>
      <c r="G6" s="2" t="s">
        <v>127</v>
      </c>
      <c r="I6" s="3" t="s">
        <v>100</v>
      </c>
      <c r="J6" s="3">
        <v>58</v>
      </c>
      <c r="K6">
        <v>53</v>
      </c>
      <c r="L6" s="64">
        <f>((J6-K6)/K6)*100</f>
        <v>9.433962264150944</v>
      </c>
      <c r="M6" s="3">
        <v>65</v>
      </c>
      <c r="N6">
        <v>58</v>
      </c>
      <c r="O6" s="64">
        <f>((M6-N6)/N6)*100</f>
        <v>12.068965517241379</v>
      </c>
      <c r="P6" s="71" t="s">
        <v>128</v>
      </c>
    </row>
    <row r="7" spans="1:16" x14ac:dyDescent="0.3">
      <c r="A7" s="3" t="s">
        <v>99</v>
      </c>
      <c r="B7" s="4">
        <v>635</v>
      </c>
      <c r="C7" s="4">
        <v>623</v>
      </c>
      <c r="D7" s="2">
        <v>530</v>
      </c>
      <c r="F7" s="41" t="s">
        <v>91</v>
      </c>
      <c r="G7" s="42"/>
      <c r="I7" s="3" t="s">
        <v>99</v>
      </c>
      <c r="J7" s="3">
        <v>623</v>
      </c>
      <c r="K7">
        <v>530</v>
      </c>
      <c r="L7" s="64">
        <f>((J7-K7)/K7)*100</f>
        <v>17.547169811320753</v>
      </c>
      <c r="M7" s="60">
        <v>635</v>
      </c>
      <c r="N7" s="4">
        <v>623</v>
      </c>
      <c r="O7" s="64">
        <f>((M7-N7)/N7)*100</f>
        <v>1.9261637239165328</v>
      </c>
      <c r="P7" s="69" t="s">
        <v>98</v>
      </c>
    </row>
    <row r="8" spans="1:16" x14ac:dyDescent="0.3">
      <c r="A8" s="3"/>
      <c r="B8" s="5">
        <f>SUM(B4:B7)</f>
        <v>448361</v>
      </c>
      <c r="C8" s="5">
        <f>SUM(C4:C7)</f>
        <v>379048</v>
      </c>
      <c r="D8" s="9">
        <f>SUM(D4:D7)</f>
        <v>325919</v>
      </c>
      <c r="F8" s="35" t="s">
        <v>93</v>
      </c>
      <c r="G8" s="42" t="s">
        <v>94</v>
      </c>
      <c r="I8" s="3"/>
      <c r="J8" s="61">
        <f>SUM(J4:J7)</f>
        <v>379048</v>
      </c>
      <c r="K8" s="5">
        <f>SUM(K4:K7)</f>
        <v>325919</v>
      </c>
      <c r="L8" s="64">
        <f>((J8-K8)/K8)*100</f>
        <v>16.301289584221845</v>
      </c>
      <c r="M8" s="61">
        <f>SUM(M4:M7)</f>
        <v>448361</v>
      </c>
      <c r="N8" s="5">
        <f>SUM(N4:N7)</f>
        <v>379048</v>
      </c>
      <c r="O8" s="64">
        <f>((M8-N8)/N8)*100</f>
        <v>18.286074586859712</v>
      </c>
      <c r="P8" s="68"/>
    </row>
    <row r="9" spans="1:16" x14ac:dyDescent="0.3">
      <c r="A9" s="1" t="s">
        <v>103</v>
      </c>
      <c r="D9" s="2"/>
      <c r="F9" s="35" t="s">
        <v>96</v>
      </c>
      <c r="G9" s="42" t="s">
        <v>97</v>
      </c>
      <c r="I9" s="1" t="s">
        <v>103</v>
      </c>
      <c r="J9" s="3"/>
      <c r="L9" s="64"/>
      <c r="M9" s="3"/>
      <c r="O9" s="64"/>
      <c r="P9" s="68"/>
    </row>
    <row r="10" spans="1:16" x14ac:dyDescent="0.3">
      <c r="A10" s="3" t="s">
        <v>107</v>
      </c>
      <c r="B10" s="4">
        <v>151550</v>
      </c>
      <c r="C10" s="4">
        <v>125228</v>
      </c>
      <c r="D10" s="7" t="s">
        <v>112</v>
      </c>
      <c r="F10" s="35" t="s">
        <v>100</v>
      </c>
      <c r="G10" s="42" t="s">
        <v>102</v>
      </c>
      <c r="I10" s="3" t="s">
        <v>107</v>
      </c>
      <c r="J10" s="60">
        <v>3192</v>
      </c>
      <c r="K10" s="6" t="s">
        <v>112</v>
      </c>
      <c r="L10" s="65" t="s">
        <v>112</v>
      </c>
      <c r="M10" s="60">
        <v>151550</v>
      </c>
      <c r="N10" s="4">
        <v>125228</v>
      </c>
      <c r="O10" s="64">
        <f>((M10-N10)/N10)*100</f>
        <v>21.019260868176445</v>
      </c>
      <c r="P10" s="69" t="s">
        <v>95</v>
      </c>
    </row>
    <row r="11" spans="1:16" x14ac:dyDescent="0.3">
      <c r="A11" s="3" t="s">
        <v>104</v>
      </c>
      <c r="B11" s="10" t="s">
        <v>112</v>
      </c>
      <c r="C11" s="4">
        <v>3192</v>
      </c>
      <c r="D11" s="8">
        <v>178283</v>
      </c>
      <c r="F11" s="35" t="s">
        <v>99</v>
      </c>
      <c r="G11" s="42" t="s">
        <v>109</v>
      </c>
      <c r="I11" s="3" t="s">
        <v>104</v>
      </c>
      <c r="J11" s="60">
        <v>125228</v>
      </c>
      <c r="K11" s="4">
        <v>178283</v>
      </c>
      <c r="L11" s="64">
        <f t="shared" ref="L11:L17" si="0">(J11-K11)/K11*100</f>
        <v>-29.75886652120505</v>
      </c>
      <c r="M11" s="66" t="s">
        <v>112</v>
      </c>
      <c r="N11" s="4">
        <v>3192</v>
      </c>
      <c r="O11" s="65" t="s">
        <v>112</v>
      </c>
      <c r="P11" s="72" t="s">
        <v>89</v>
      </c>
    </row>
    <row r="12" spans="1:16" x14ac:dyDescent="0.3">
      <c r="A12" s="3" t="s">
        <v>108</v>
      </c>
      <c r="B12" s="4">
        <v>584</v>
      </c>
      <c r="C12" s="4">
        <v>7829</v>
      </c>
      <c r="D12" s="8">
        <v>7727</v>
      </c>
      <c r="F12" s="35"/>
      <c r="G12" s="42"/>
      <c r="I12" s="3" t="s">
        <v>108</v>
      </c>
      <c r="J12" s="60">
        <v>7829</v>
      </c>
      <c r="K12" s="4">
        <v>7727</v>
      </c>
      <c r="L12" s="64">
        <f t="shared" si="0"/>
        <v>1.3200465898796427</v>
      </c>
      <c r="M12" s="60">
        <v>584</v>
      </c>
      <c r="N12" s="4">
        <v>7829</v>
      </c>
      <c r="O12" s="64">
        <f>((M12-N12)/N12)*100</f>
        <v>-92.54055434921446</v>
      </c>
      <c r="P12" s="70" t="s">
        <v>92</v>
      </c>
    </row>
    <row r="13" spans="1:16" x14ac:dyDescent="0.3">
      <c r="A13" s="3" t="s">
        <v>93</v>
      </c>
      <c r="B13" s="4">
        <v>110287</v>
      </c>
      <c r="C13" s="4">
        <v>91292</v>
      </c>
      <c r="D13" s="8">
        <v>73735</v>
      </c>
      <c r="F13" s="41" t="s">
        <v>105</v>
      </c>
      <c r="G13" s="42"/>
      <c r="I13" s="3" t="s">
        <v>93</v>
      </c>
      <c r="J13" s="60">
        <v>91292</v>
      </c>
      <c r="K13" s="4">
        <v>73735</v>
      </c>
      <c r="L13" s="64">
        <f t="shared" si="0"/>
        <v>23.810944598901472</v>
      </c>
      <c r="M13" s="60">
        <v>110287</v>
      </c>
      <c r="N13" s="4">
        <v>91292</v>
      </c>
      <c r="O13" s="64">
        <f>((M13-N13)/N13)*100</f>
        <v>20.806861499364675</v>
      </c>
      <c r="P13" s="69" t="s">
        <v>95</v>
      </c>
    </row>
    <row r="14" spans="1:16" x14ac:dyDescent="0.3">
      <c r="A14" s="3" t="s">
        <v>96</v>
      </c>
      <c r="B14" s="4">
        <v>1840</v>
      </c>
      <c r="C14" s="4">
        <v>1848</v>
      </c>
      <c r="D14" s="8">
        <v>1864</v>
      </c>
      <c r="F14" s="35" t="s">
        <v>107</v>
      </c>
      <c r="G14" s="42" t="s">
        <v>94</v>
      </c>
      <c r="I14" s="3" t="s">
        <v>96</v>
      </c>
      <c r="J14" s="60">
        <v>1848</v>
      </c>
      <c r="K14" s="4">
        <v>1864</v>
      </c>
      <c r="L14" s="64">
        <f t="shared" si="0"/>
        <v>-0.85836909871244638</v>
      </c>
      <c r="M14" s="60">
        <v>1840</v>
      </c>
      <c r="N14" s="4">
        <v>1848</v>
      </c>
      <c r="O14" s="64">
        <f>((M14-N14)/N14)*100</f>
        <v>-0.4329004329004329</v>
      </c>
      <c r="P14" s="71" t="s">
        <v>128</v>
      </c>
    </row>
    <row r="15" spans="1:16" x14ac:dyDescent="0.3">
      <c r="A15" s="3" t="s">
        <v>110</v>
      </c>
      <c r="B15" s="4">
        <v>5507</v>
      </c>
      <c r="C15" s="4">
        <v>17594</v>
      </c>
      <c r="D15" s="8">
        <v>15453</v>
      </c>
      <c r="F15" s="35" t="s">
        <v>104</v>
      </c>
      <c r="G15" s="42" t="s">
        <v>106</v>
      </c>
      <c r="I15" s="3" t="s">
        <v>110</v>
      </c>
      <c r="J15" s="3">
        <v>17594</v>
      </c>
      <c r="K15" s="4">
        <v>15453</v>
      </c>
      <c r="L15" s="64">
        <f t="shared" si="0"/>
        <v>13.854914903255031</v>
      </c>
      <c r="M15" s="60">
        <v>5507</v>
      </c>
      <c r="N15" s="4">
        <v>17594</v>
      </c>
      <c r="O15" s="64">
        <f>((M15-N15)/N15)*100</f>
        <v>-68.699556667045584</v>
      </c>
      <c r="P15" s="70" t="s">
        <v>92</v>
      </c>
    </row>
    <row r="16" spans="1:16" ht="15" thickBot="1" x14ac:dyDescent="0.35">
      <c r="A16" s="3"/>
      <c r="B16" s="5">
        <f>SUM(B10:B15)</f>
        <v>269768</v>
      </c>
      <c r="C16" s="5">
        <f>SUM(C10:C15)</f>
        <v>246983</v>
      </c>
      <c r="D16" s="9">
        <f>SUM(D10:D15)</f>
        <v>277062</v>
      </c>
      <c r="F16" s="35" t="s">
        <v>108</v>
      </c>
      <c r="G16" s="42" t="s">
        <v>129</v>
      </c>
      <c r="I16" s="3"/>
      <c r="J16" s="61">
        <f>SUM(J10:J15)</f>
        <v>246983</v>
      </c>
      <c r="K16" s="5">
        <f>SUM(K10:K15)</f>
        <v>277062</v>
      </c>
      <c r="L16" s="64">
        <f t="shared" si="0"/>
        <v>-10.856414809681587</v>
      </c>
      <c r="M16" s="61">
        <f>SUM(M10:M15)</f>
        <v>269768</v>
      </c>
      <c r="N16" s="5">
        <f>SUM(N10:N15)</f>
        <v>246983</v>
      </c>
      <c r="O16" s="64">
        <f>((M16-N16)/N16)*100</f>
        <v>9.2253312981055373</v>
      </c>
      <c r="P16" s="68"/>
    </row>
    <row r="17" spans="1:16" x14ac:dyDescent="0.3">
      <c r="A17" s="28" t="s">
        <v>115</v>
      </c>
      <c r="B17" s="29">
        <f>B8+B16</f>
        <v>718129</v>
      </c>
      <c r="C17" s="29">
        <f>C8+C16</f>
        <v>626031</v>
      </c>
      <c r="D17" s="30">
        <f>D8+D16</f>
        <v>602981</v>
      </c>
      <c r="F17" s="35" t="s">
        <v>93</v>
      </c>
      <c r="G17" s="42" t="s">
        <v>94</v>
      </c>
      <c r="I17" s="57" t="s">
        <v>115</v>
      </c>
      <c r="J17" s="62">
        <f>J8+J16</f>
        <v>626031</v>
      </c>
      <c r="K17" s="63">
        <f>K8+K16</f>
        <v>602981</v>
      </c>
      <c r="L17" s="74">
        <f t="shared" si="0"/>
        <v>3.8226743462895181</v>
      </c>
      <c r="M17" s="62">
        <f>M8+M16</f>
        <v>718129</v>
      </c>
      <c r="N17" s="63">
        <f>N8+N16</f>
        <v>626031</v>
      </c>
      <c r="O17" s="74">
        <f>(M17-N17)/N17*100</f>
        <v>14.711412054674607</v>
      </c>
      <c r="P17" s="73" t="s">
        <v>95</v>
      </c>
    </row>
    <row r="18" spans="1:16" x14ac:dyDescent="0.3">
      <c r="F18" s="35" t="s">
        <v>96</v>
      </c>
      <c r="G18" s="42" t="s">
        <v>102</v>
      </c>
    </row>
    <row r="19" spans="1:16" x14ac:dyDescent="0.3">
      <c r="A19" s="28" t="s">
        <v>80</v>
      </c>
      <c r="B19" s="213">
        <v>2023</v>
      </c>
      <c r="C19" s="213">
        <v>2022</v>
      </c>
      <c r="D19" s="214" t="s">
        <v>82</v>
      </c>
      <c r="F19" s="43" t="s">
        <v>110</v>
      </c>
      <c r="G19" s="44" t="s">
        <v>97</v>
      </c>
    </row>
    <row r="20" spans="1:16" x14ac:dyDescent="0.3">
      <c r="A20" s="1" t="s">
        <v>84</v>
      </c>
      <c r="D20" s="2"/>
    </row>
    <row r="21" spans="1:16" x14ac:dyDescent="0.3">
      <c r="A21" s="3" t="s">
        <v>93</v>
      </c>
      <c r="B21" s="4">
        <v>366917</v>
      </c>
      <c r="C21" s="4">
        <v>317510</v>
      </c>
      <c r="D21" s="36">
        <f>((B21-C21)/C21)*100</f>
        <v>15.560769739535763</v>
      </c>
      <c r="F21" s="50" t="s">
        <v>116</v>
      </c>
      <c r="G21" s="50" t="s">
        <v>117</v>
      </c>
    </row>
    <row r="22" spans="1:16" x14ac:dyDescent="0.3">
      <c r="A22" s="3" t="s">
        <v>96</v>
      </c>
      <c r="B22" s="4">
        <v>11450</v>
      </c>
      <c r="C22" s="4">
        <v>7826</v>
      </c>
      <c r="D22" s="36">
        <f>((B22-C22)/C22)*100</f>
        <v>46.307181190902121</v>
      </c>
      <c r="F22" s="49" t="s">
        <v>118</v>
      </c>
      <c r="G22" s="86" t="s">
        <v>130</v>
      </c>
    </row>
    <row r="23" spans="1:16" ht="28.8" x14ac:dyDescent="0.3">
      <c r="A23" s="3" t="s">
        <v>100</v>
      </c>
      <c r="B23">
        <v>58</v>
      </c>
      <c r="C23">
        <v>53</v>
      </c>
      <c r="D23" s="36">
        <f>((B23-C23)/C23)*100</f>
        <v>9.433962264150944</v>
      </c>
      <c r="F23" s="48" t="s">
        <v>107</v>
      </c>
      <c r="G23" s="48" t="s">
        <v>131</v>
      </c>
    </row>
    <row r="24" spans="1:16" x14ac:dyDescent="0.3">
      <c r="A24" s="3" t="s">
        <v>99</v>
      </c>
      <c r="B24">
        <v>623</v>
      </c>
      <c r="C24">
        <v>530</v>
      </c>
      <c r="D24" s="36">
        <f>((B24-C24)/C24)*100</f>
        <v>17.547169811320753</v>
      </c>
    </row>
    <row r="25" spans="1:16" x14ac:dyDescent="0.3">
      <c r="A25" s="3"/>
      <c r="B25" s="5">
        <f>SUM(B21:B24)</f>
        <v>379048</v>
      </c>
      <c r="C25" s="5">
        <f>SUM(C21:C24)</f>
        <v>325919</v>
      </c>
      <c r="D25" s="36">
        <f>((B25-C25)/C25)*100</f>
        <v>16.301289584221845</v>
      </c>
    </row>
    <row r="26" spans="1:16" x14ac:dyDescent="0.3">
      <c r="A26" s="1" t="s">
        <v>103</v>
      </c>
      <c r="D26" s="36"/>
    </row>
    <row r="27" spans="1:16" x14ac:dyDescent="0.3">
      <c r="A27" s="3" t="s">
        <v>107</v>
      </c>
      <c r="B27" s="4">
        <v>3192</v>
      </c>
      <c r="C27" s="6" t="s">
        <v>112</v>
      </c>
      <c r="D27" s="37" t="s">
        <v>112</v>
      </c>
    </row>
    <row r="28" spans="1:16" x14ac:dyDescent="0.3">
      <c r="A28" s="3" t="s">
        <v>104</v>
      </c>
      <c r="B28" s="4">
        <v>125228</v>
      </c>
      <c r="C28" s="4">
        <v>178283</v>
      </c>
      <c r="D28" s="36">
        <f t="shared" ref="D28:D34" si="1">(B28-C28)/C28*100</f>
        <v>-29.75886652120505</v>
      </c>
    </row>
    <row r="29" spans="1:16" x14ac:dyDescent="0.3">
      <c r="A29" s="3" t="s">
        <v>108</v>
      </c>
      <c r="B29" s="4">
        <v>7829</v>
      </c>
      <c r="C29" s="4">
        <v>7727</v>
      </c>
      <c r="D29" s="36">
        <f t="shared" si="1"/>
        <v>1.3200465898796427</v>
      </c>
    </row>
    <row r="30" spans="1:16" x14ac:dyDescent="0.3">
      <c r="A30" s="3" t="s">
        <v>93</v>
      </c>
      <c r="B30" s="4">
        <v>91292</v>
      </c>
      <c r="C30" s="4">
        <v>73735</v>
      </c>
      <c r="D30" s="36">
        <f t="shared" si="1"/>
        <v>23.810944598901472</v>
      </c>
    </row>
    <row r="31" spans="1:16" x14ac:dyDescent="0.3">
      <c r="A31" s="3" t="s">
        <v>96</v>
      </c>
      <c r="B31" s="4">
        <v>1848</v>
      </c>
      <c r="C31" s="4">
        <v>1864</v>
      </c>
      <c r="D31" s="36">
        <f t="shared" si="1"/>
        <v>-0.85836909871244638</v>
      </c>
    </row>
    <row r="32" spans="1:16" x14ac:dyDescent="0.3">
      <c r="A32" s="3" t="s">
        <v>110</v>
      </c>
      <c r="B32">
        <v>17594</v>
      </c>
      <c r="C32" s="4">
        <v>15453</v>
      </c>
      <c r="D32" s="36">
        <f t="shared" si="1"/>
        <v>13.854914903255031</v>
      </c>
    </row>
    <row r="33" spans="1:4" x14ac:dyDescent="0.3">
      <c r="A33" s="3"/>
      <c r="B33" s="5">
        <f>SUM(B27:B32)</f>
        <v>246983</v>
      </c>
      <c r="C33" s="5">
        <f>SUM(C27:C32)</f>
        <v>277062</v>
      </c>
      <c r="D33" s="36">
        <f t="shared" si="1"/>
        <v>-10.856414809681587</v>
      </c>
    </row>
    <row r="34" spans="1:4" x14ac:dyDescent="0.3">
      <c r="A34" s="31" t="s">
        <v>115</v>
      </c>
      <c r="B34" s="32">
        <f>B25+B33</f>
        <v>626031</v>
      </c>
      <c r="C34" s="32">
        <f>C25+C33</f>
        <v>602981</v>
      </c>
      <c r="D34" s="38">
        <f t="shared" si="1"/>
        <v>3.8226743462895181</v>
      </c>
    </row>
    <row r="36" spans="1:4" x14ac:dyDescent="0.3">
      <c r="A36" s="28" t="s">
        <v>80</v>
      </c>
      <c r="B36" s="213">
        <v>2024</v>
      </c>
      <c r="C36" s="213">
        <v>2023</v>
      </c>
      <c r="D36" s="214" t="s">
        <v>82</v>
      </c>
    </row>
    <row r="37" spans="1:4" x14ac:dyDescent="0.3">
      <c r="A37" s="1" t="s">
        <v>84</v>
      </c>
      <c r="D37" s="2"/>
    </row>
    <row r="38" spans="1:4" x14ac:dyDescent="0.3">
      <c r="A38" s="3" t="s">
        <v>93</v>
      </c>
      <c r="B38" s="4">
        <v>440132</v>
      </c>
      <c r="C38" s="4">
        <v>366917</v>
      </c>
      <c r="D38" s="36">
        <f>((B38-C38)/C38)*100</f>
        <v>19.954104061681523</v>
      </c>
    </row>
    <row r="39" spans="1:4" x14ac:dyDescent="0.3">
      <c r="A39" s="3" t="s">
        <v>96</v>
      </c>
      <c r="B39" s="4">
        <v>7529</v>
      </c>
      <c r="C39" s="4">
        <v>11450</v>
      </c>
      <c r="D39" s="36">
        <f>((B39-C39)/C39)*100</f>
        <v>-34.244541484716159</v>
      </c>
    </row>
    <row r="40" spans="1:4" x14ac:dyDescent="0.3">
      <c r="A40" s="3" t="s">
        <v>100</v>
      </c>
      <c r="B40">
        <v>65</v>
      </c>
      <c r="C40">
        <v>58</v>
      </c>
      <c r="D40" s="36">
        <f>((B40-C40)/C40)*100</f>
        <v>12.068965517241379</v>
      </c>
    </row>
    <row r="41" spans="1:4" x14ac:dyDescent="0.3">
      <c r="A41" s="3" t="s">
        <v>99</v>
      </c>
      <c r="B41" s="4">
        <v>635</v>
      </c>
      <c r="C41" s="4">
        <v>623</v>
      </c>
      <c r="D41" s="36">
        <f>((B41-C41)/C41)*100</f>
        <v>1.9261637239165328</v>
      </c>
    </row>
    <row r="42" spans="1:4" x14ac:dyDescent="0.3">
      <c r="A42" s="3"/>
      <c r="B42" s="5">
        <f>SUM(B38:B41)</f>
        <v>448361</v>
      </c>
      <c r="C42" s="5">
        <f>SUM(C38:C41)</f>
        <v>379048</v>
      </c>
      <c r="D42" s="36">
        <f>((B42-C42)/C42)*100</f>
        <v>18.286074586859712</v>
      </c>
    </row>
    <row r="43" spans="1:4" x14ac:dyDescent="0.3">
      <c r="A43" s="1" t="s">
        <v>103</v>
      </c>
      <c r="D43" s="36"/>
    </row>
    <row r="44" spans="1:4" x14ac:dyDescent="0.3">
      <c r="A44" s="3" t="s">
        <v>107</v>
      </c>
      <c r="B44" s="4">
        <v>151550</v>
      </c>
      <c r="C44" s="4">
        <v>125228</v>
      </c>
      <c r="D44" s="36">
        <f>((B44-C44)/C44)*100</f>
        <v>21.019260868176445</v>
      </c>
    </row>
    <row r="45" spans="1:4" x14ac:dyDescent="0.3">
      <c r="A45" s="3" t="s">
        <v>104</v>
      </c>
      <c r="B45" s="10" t="s">
        <v>112</v>
      </c>
      <c r="C45" s="4">
        <v>3192</v>
      </c>
      <c r="D45" s="37" t="s">
        <v>112</v>
      </c>
    </row>
    <row r="46" spans="1:4" x14ac:dyDescent="0.3">
      <c r="A46" s="3" t="s">
        <v>108</v>
      </c>
      <c r="B46" s="4">
        <v>584</v>
      </c>
      <c r="C46" s="4">
        <v>7829</v>
      </c>
      <c r="D46" s="36">
        <f>((B46-C46)/C46)*100</f>
        <v>-92.54055434921446</v>
      </c>
    </row>
    <row r="47" spans="1:4" x14ac:dyDescent="0.3">
      <c r="A47" s="3" t="s">
        <v>93</v>
      </c>
      <c r="B47" s="4">
        <v>110287</v>
      </c>
      <c r="C47" s="4">
        <v>91292</v>
      </c>
      <c r="D47" s="36">
        <f>((B47-C47)/C47)*100</f>
        <v>20.806861499364675</v>
      </c>
    </row>
    <row r="48" spans="1:4" x14ac:dyDescent="0.3">
      <c r="A48" s="3" t="s">
        <v>96</v>
      </c>
      <c r="B48" s="4">
        <v>1840</v>
      </c>
      <c r="C48" s="4">
        <v>1848</v>
      </c>
      <c r="D48" s="36">
        <f>((B48-C48)/C48)*100</f>
        <v>-0.4329004329004329</v>
      </c>
    </row>
    <row r="49" spans="1:4" x14ac:dyDescent="0.3">
      <c r="A49" s="3" t="s">
        <v>110</v>
      </c>
      <c r="B49" s="4">
        <v>5507</v>
      </c>
      <c r="C49" s="4">
        <v>17594</v>
      </c>
      <c r="D49" s="36">
        <f>((B49-C49)/C49)*100</f>
        <v>-68.699556667045584</v>
      </c>
    </row>
    <row r="50" spans="1:4" x14ac:dyDescent="0.3">
      <c r="A50" s="3"/>
      <c r="B50" s="5">
        <f>SUM(B44:B49)</f>
        <v>269768</v>
      </c>
      <c r="C50" s="5">
        <f>SUM(C44:C49)</f>
        <v>246983</v>
      </c>
      <c r="D50" s="36">
        <f>((B50-C50)/C50)*100</f>
        <v>9.2253312981055373</v>
      </c>
    </row>
    <row r="51" spans="1:4" x14ac:dyDescent="0.3">
      <c r="A51" s="31" t="s">
        <v>115</v>
      </c>
      <c r="B51" s="32">
        <f>B42+B50</f>
        <v>718129</v>
      </c>
      <c r="C51" s="32">
        <f>C42+C50</f>
        <v>626031</v>
      </c>
      <c r="D51" s="38">
        <f>(B51-C51)/C51*100</f>
        <v>14.711412054674607</v>
      </c>
    </row>
  </sheetData>
  <mergeCells count="2">
    <mergeCell ref="F2:G2"/>
    <mergeCell ref="F3:G3"/>
  </mergeCells>
  <pageMargins left="0.7" right="0.7" top="0.75" bottom="0.7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5FCF1-67D7-4C43-9DB6-35944284548E}">
  <dimension ref="A1:M37"/>
  <sheetViews>
    <sheetView topLeftCell="A3" workbookViewId="0">
      <selection activeCell="H2" sqref="H2:L3"/>
    </sheetView>
  </sheetViews>
  <sheetFormatPr defaultColWidth="9.109375" defaultRowHeight="14.4" x14ac:dyDescent="0.3"/>
  <cols>
    <col min="1" max="1" width="35.88671875" customWidth="1"/>
    <col min="2" max="2" width="19.5546875" customWidth="1"/>
    <col min="3" max="3" width="13.33203125" customWidth="1"/>
    <col min="4" max="4" width="13.88671875" customWidth="1"/>
    <col min="5" max="5" width="13.5546875" customWidth="1"/>
    <col min="8" max="8" width="29.33203125" customWidth="1"/>
    <col min="9" max="9" width="13" customWidth="1"/>
    <col min="10" max="10" width="13.44140625" customWidth="1"/>
    <col min="11" max="12" width="14" customWidth="1"/>
  </cols>
  <sheetData>
    <row r="1" spans="1:12" ht="15" thickBot="1" x14ac:dyDescent="0.35"/>
    <row r="2" spans="1:12" x14ac:dyDescent="0.3">
      <c r="A2" s="245" t="s">
        <v>132</v>
      </c>
      <c r="B2" s="246"/>
      <c r="C2" s="246"/>
      <c r="D2" s="246"/>
      <c r="E2" s="247"/>
      <c r="H2" s="240" t="s">
        <v>133</v>
      </c>
      <c r="I2" s="241"/>
      <c r="J2" s="241"/>
      <c r="K2" s="241"/>
      <c r="L2" s="242"/>
    </row>
    <row r="3" spans="1:12" ht="15" thickBot="1" x14ac:dyDescent="0.35">
      <c r="A3" s="178" t="s">
        <v>134</v>
      </c>
      <c r="B3" s="179"/>
      <c r="C3" s="179"/>
      <c r="D3" s="179"/>
      <c r="E3" s="180"/>
      <c r="H3" s="144" t="s">
        <v>134</v>
      </c>
      <c r="I3" s="145"/>
      <c r="J3" s="145"/>
      <c r="K3" s="145"/>
      <c r="L3" s="146"/>
    </row>
    <row r="4" spans="1:12" x14ac:dyDescent="0.3">
      <c r="A4" s="99"/>
      <c r="B4" s="100"/>
      <c r="C4" s="108" t="s">
        <v>21</v>
      </c>
      <c r="D4" s="101" t="s">
        <v>135</v>
      </c>
      <c r="E4" s="102" t="s">
        <v>19</v>
      </c>
      <c r="H4" s="99"/>
      <c r="I4" s="100"/>
      <c r="J4" s="108" t="s">
        <v>21</v>
      </c>
      <c r="K4" s="101" t="s">
        <v>135</v>
      </c>
      <c r="L4" s="102" t="s">
        <v>19</v>
      </c>
    </row>
    <row r="5" spans="1:12" x14ac:dyDescent="0.3">
      <c r="A5" s="24" t="s">
        <v>136</v>
      </c>
      <c r="C5" s="4">
        <v>201572</v>
      </c>
      <c r="D5" s="10">
        <v>201572</v>
      </c>
      <c r="E5" s="105">
        <v>201572</v>
      </c>
      <c r="H5" s="24" t="s">
        <v>136</v>
      </c>
      <c r="J5" s="4">
        <v>69563</v>
      </c>
      <c r="K5" s="10">
        <v>69563</v>
      </c>
      <c r="L5" s="105">
        <v>69563</v>
      </c>
    </row>
    <row r="6" spans="1:12" x14ac:dyDescent="0.3">
      <c r="A6" s="24" t="s">
        <v>137</v>
      </c>
      <c r="C6" s="4">
        <v>235591</v>
      </c>
      <c r="D6" s="10">
        <v>226046</v>
      </c>
      <c r="E6" s="105">
        <v>196747</v>
      </c>
      <c r="H6" s="24" t="s">
        <v>137</v>
      </c>
      <c r="J6" s="4">
        <v>1041547</v>
      </c>
      <c r="K6" s="10">
        <v>970525</v>
      </c>
      <c r="L6" s="105">
        <v>821487</v>
      </c>
    </row>
    <row r="7" spans="1:12" x14ac:dyDescent="0.3">
      <c r="A7" s="24"/>
      <c r="C7" s="5">
        <v>437163</v>
      </c>
      <c r="D7" s="109">
        <v>427618</v>
      </c>
      <c r="E7" s="110">
        <v>398319</v>
      </c>
      <c r="H7" s="24"/>
      <c r="J7" s="5"/>
      <c r="K7" s="109"/>
      <c r="L7" s="110"/>
    </row>
    <row r="8" spans="1:12" x14ac:dyDescent="0.3">
      <c r="A8" s="24" t="s">
        <v>138</v>
      </c>
      <c r="C8" s="5">
        <v>46127</v>
      </c>
      <c r="D8" s="109">
        <v>27986</v>
      </c>
      <c r="E8" s="110">
        <v>24831</v>
      </c>
      <c r="F8" s="204"/>
      <c r="H8" s="24"/>
      <c r="J8" s="5"/>
      <c r="K8" s="109"/>
      <c r="L8" s="110"/>
    </row>
    <row r="9" spans="1:12" x14ac:dyDescent="0.3">
      <c r="A9" s="181" t="s">
        <v>139</v>
      </c>
      <c r="B9" s="182"/>
      <c r="C9" s="183">
        <f>SUM(C7:C8)</f>
        <v>483290</v>
      </c>
      <c r="D9" s="184">
        <f>SUM(D7:D8)</f>
        <v>455604</v>
      </c>
      <c r="E9" s="185">
        <f>SUM(E7:E8)</f>
        <v>423150</v>
      </c>
      <c r="H9" s="147" t="s">
        <v>139</v>
      </c>
      <c r="I9" s="148"/>
      <c r="J9" s="149">
        <f>SUM(J5:J6)</f>
        <v>1111110</v>
      </c>
      <c r="K9" s="150">
        <f>SUM(K5:K6)</f>
        <v>1040088</v>
      </c>
      <c r="L9" s="151">
        <f>SUM(L5:L6)</f>
        <v>891050</v>
      </c>
    </row>
    <row r="10" spans="1:12" x14ac:dyDescent="0.3">
      <c r="E10" s="17"/>
      <c r="H10" s="24"/>
      <c r="L10" s="17"/>
    </row>
    <row r="11" spans="1:12" x14ac:dyDescent="0.3">
      <c r="A11" s="186" t="s">
        <v>80</v>
      </c>
      <c r="B11" s="187"/>
      <c r="C11" s="187"/>
      <c r="D11" s="187"/>
      <c r="E11" s="188"/>
      <c r="H11" s="152" t="s">
        <v>80</v>
      </c>
      <c r="I11" s="153"/>
      <c r="J11" s="153"/>
      <c r="K11" s="153"/>
      <c r="L11" s="154"/>
    </row>
    <row r="12" spans="1:12" x14ac:dyDescent="0.3">
      <c r="A12" s="189" t="s">
        <v>84</v>
      </c>
      <c r="B12" s="190"/>
      <c r="C12" s="190"/>
      <c r="D12" s="190"/>
      <c r="E12" s="191"/>
      <c r="H12" s="155" t="s">
        <v>84</v>
      </c>
      <c r="I12" s="156"/>
      <c r="J12" s="156"/>
      <c r="K12" s="156"/>
      <c r="L12" s="157"/>
    </row>
    <row r="13" spans="1:12" x14ac:dyDescent="0.3">
      <c r="E13" s="17"/>
      <c r="H13" s="24"/>
      <c r="L13" s="17"/>
    </row>
    <row r="14" spans="1:12" x14ac:dyDescent="0.3">
      <c r="A14" t="s">
        <v>87</v>
      </c>
      <c r="C14" s="14">
        <v>63081</v>
      </c>
      <c r="D14" s="14">
        <v>67598</v>
      </c>
      <c r="E14" s="103">
        <v>70173</v>
      </c>
      <c r="H14" s="3" t="s">
        <v>93</v>
      </c>
      <c r="J14" s="4">
        <v>440132</v>
      </c>
      <c r="K14" s="4">
        <v>366917</v>
      </c>
      <c r="L14" s="25">
        <v>317510</v>
      </c>
    </row>
    <row r="15" spans="1:12" x14ac:dyDescent="0.3">
      <c r="A15" t="s">
        <v>90</v>
      </c>
      <c r="C15" s="14">
        <v>2123</v>
      </c>
      <c r="D15" s="14">
        <v>5796</v>
      </c>
      <c r="E15" s="103">
        <v>5246</v>
      </c>
      <c r="H15" s="3" t="s">
        <v>96</v>
      </c>
      <c r="J15" s="4">
        <v>7529</v>
      </c>
      <c r="K15" s="4">
        <v>11450</v>
      </c>
      <c r="L15" s="25">
        <v>7826</v>
      </c>
    </row>
    <row r="16" spans="1:12" x14ac:dyDescent="0.3">
      <c r="A16" t="s">
        <v>93</v>
      </c>
      <c r="C16" s="14">
        <v>64028</v>
      </c>
      <c r="D16" s="14">
        <v>52670</v>
      </c>
      <c r="E16" s="103">
        <v>42322</v>
      </c>
      <c r="H16" s="3" t="s">
        <v>100</v>
      </c>
      <c r="J16">
        <v>65</v>
      </c>
      <c r="K16">
        <v>58</v>
      </c>
      <c r="L16" s="17">
        <v>53</v>
      </c>
    </row>
    <row r="17" spans="1:12" x14ac:dyDescent="0.3">
      <c r="A17" t="s">
        <v>96</v>
      </c>
      <c r="C17" s="14">
        <v>2037</v>
      </c>
      <c r="D17" s="14">
        <v>1518</v>
      </c>
      <c r="E17" s="103">
        <v>1113</v>
      </c>
      <c r="H17" s="3" t="s">
        <v>99</v>
      </c>
      <c r="J17" s="4">
        <v>635</v>
      </c>
      <c r="K17">
        <v>623</v>
      </c>
      <c r="L17" s="17">
        <v>530</v>
      </c>
    </row>
    <row r="18" spans="1:12" x14ac:dyDescent="0.3">
      <c r="A18" t="s">
        <v>99</v>
      </c>
      <c r="C18" s="14">
        <v>5358</v>
      </c>
      <c r="D18" s="14">
        <v>5708</v>
      </c>
      <c r="E18" s="103">
        <v>5558</v>
      </c>
      <c r="H18" s="24"/>
      <c r="J18" s="14"/>
      <c r="K18" s="14"/>
      <c r="L18" s="103"/>
    </row>
    <row r="19" spans="1:12" x14ac:dyDescent="0.3">
      <c r="A19" s="12"/>
      <c r="C19" s="15">
        <f>SUM(C14:C18)</f>
        <v>136627</v>
      </c>
      <c r="D19" s="15">
        <f>SUM(D14:D18)</f>
        <v>133290</v>
      </c>
      <c r="E19" s="104">
        <f>SUM(E14:E18)</f>
        <v>124412</v>
      </c>
      <c r="G19" s="4"/>
      <c r="H19" s="123"/>
      <c r="J19" s="15">
        <f>SUM(J14:J17)</f>
        <v>448361</v>
      </c>
      <c r="K19" s="15">
        <f>SUM(K14:K17)</f>
        <v>379048</v>
      </c>
      <c r="L19" s="104">
        <f>SUM(L14:L17)</f>
        <v>325919</v>
      </c>
    </row>
    <row r="20" spans="1:12" x14ac:dyDescent="0.3">
      <c r="A20" s="11" t="s">
        <v>103</v>
      </c>
      <c r="C20" s="14"/>
      <c r="D20" s="14"/>
      <c r="E20" s="103"/>
      <c r="H20" s="124" t="s">
        <v>103</v>
      </c>
      <c r="J20" s="14"/>
      <c r="K20" s="14"/>
      <c r="L20" s="103"/>
    </row>
    <row r="21" spans="1:12" x14ac:dyDescent="0.3">
      <c r="A21" t="s">
        <v>104</v>
      </c>
      <c r="C21" s="14">
        <v>25870</v>
      </c>
      <c r="D21" s="14">
        <v>29232</v>
      </c>
      <c r="E21" s="103">
        <v>32953</v>
      </c>
      <c r="H21" s="3" t="s">
        <v>107</v>
      </c>
      <c r="J21" s="4">
        <v>151550</v>
      </c>
      <c r="K21" s="4">
        <v>3192</v>
      </c>
      <c r="L21" s="97" t="s">
        <v>112</v>
      </c>
    </row>
    <row r="22" spans="1:12" x14ac:dyDescent="0.3">
      <c r="A22" t="s">
        <v>87</v>
      </c>
      <c r="C22" s="14">
        <v>13833</v>
      </c>
      <c r="D22" s="14">
        <v>22402</v>
      </c>
      <c r="E22" s="103">
        <v>10182</v>
      </c>
      <c r="H22" s="3" t="s">
        <v>104</v>
      </c>
      <c r="J22" s="10" t="s">
        <v>112</v>
      </c>
      <c r="K22" s="4">
        <v>125228</v>
      </c>
      <c r="L22" s="25">
        <v>178283</v>
      </c>
    </row>
    <row r="23" spans="1:12" x14ac:dyDescent="0.3">
      <c r="A23" t="s">
        <v>93</v>
      </c>
      <c r="C23" s="14">
        <v>29213</v>
      </c>
      <c r="D23" s="14">
        <v>25175</v>
      </c>
      <c r="E23" s="103">
        <v>20240</v>
      </c>
      <c r="H23" s="3" t="s">
        <v>108</v>
      </c>
      <c r="J23" s="4">
        <v>584</v>
      </c>
      <c r="K23" s="4">
        <v>7829</v>
      </c>
      <c r="L23" s="25">
        <v>7727</v>
      </c>
    </row>
    <row r="24" spans="1:12" x14ac:dyDescent="0.3">
      <c r="A24" t="s">
        <v>96</v>
      </c>
      <c r="C24" s="14">
        <v>978</v>
      </c>
      <c r="D24" s="14">
        <v>702</v>
      </c>
      <c r="E24" s="103">
        <v>552</v>
      </c>
      <c r="H24" s="3" t="s">
        <v>93</v>
      </c>
      <c r="J24" s="4">
        <v>110287</v>
      </c>
      <c r="K24" s="4">
        <v>91292</v>
      </c>
      <c r="L24" s="25">
        <v>73735</v>
      </c>
    </row>
    <row r="25" spans="1:12" x14ac:dyDescent="0.3">
      <c r="A25" t="s">
        <v>108</v>
      </c>
      <c r="C25" s="14">
        <v>20360</v>
      </c>
      <c r="D25" s="14">
        <v>20776</v>
      </c>
      <c r="E25" s="103">
        <v>19645</v>
      </c>
      <c r="H25" s="3" t="s">
        <v>96</v>
      </c>
      <c r="J25" s="4">
        <v>1840</v>
      </c>
      <c r="K25" s="4">
        <v>1848</v>
      </c>
      <c r="L25" s="25">
        <v>1864</v>
      </c>
    </row>
    <row r="26" spans="1:12" x14ac:dyDescent="0.3">
      <c r="A26" t="s">
        <v>110</v>
      </c>
      <c r="C26" s="14">
        <v>4342</v>
      </c>
      <c r="D26" s="14">
        <v>6801</v>
      </c>
      <c r="E26" s="103">
        <v>6302</v>
      </c>
      <c r="H26" s="3" t="s">
        <v>110</v>
      </c>
      <c r="J26" s="4">
        <v>5507</v>
      </c>
      <c r="K26" s="4">
        <v>17594</v>
      </c>
      <c r="L26" s="25">
        <v>15453</v>
      </c>
    </row>
    <row r="27" spans="1:12" x14ac:dyDescent="0.3">
      <c r="A27" s="12"/>
      <c r="C27" s="15">
        <f>SUM(C21:C26)</f>
        <v>94596</v>
      </c>
      <c r="D27" s="15">
        <f>SUM(D21:D26)</f>
        <v>105088</v>
      </c>
      <c r="E27" s="104">
        <f>SUM(E21:E26)</f>
        <v>89874</v>
      </c>
      <c r="H27" s="123"/>
      <c r="J27" s="15">
        <f>SUM(J21:J26)</f>
        <v>269768</v>
      </c>
      <c r="K27" s="15">
        <f>SUM(K21:K26)</f>
        <v>246983</v>
      </c>
      <c r="L27" s="104">
        <f>SUM(L22:L26)</f>
        <v>277062</v>
      </c>
    </row>
    <row r="28" spans="1:12" x14ac:dyDescent="0.3">
      <c r="A28" s="12"/>
      <c r="D28" s="14"/>
      <c r="E28" s="103"/>
      <c r="H28" s="123"/>
      <c r="K28" s="14"/>
      <c r="L28" s="103"/>
    </row>
    <row r="29" spans="1:12" x14ac:dyDescent="0.3">
      <c r="A29" t="s">
        <v>111</v>
      </c>
      <c r="D29" s="14"/>
      <c r="E29" s="104">
        <v>8062</v>
      </c>
      <c r="H29" s="24"/>
      <c r="K29" s="14"/>
      <c r="L29" s="104"/>
    </row>
    <row r="30" spans="1:12" x14ac:dyDescent="0.3">
      <c r="A30" s="192" t="s">
        <v>115</v>
      </c>
      <c r="B30" s="193"/>
      <c r="C30" s="194">
        <f>SUM(C19,C27)</f>
        <v>231223</v>
      </c>
      <c r="D30" s="195">
        <f>D19+D27</f>
        <v>238378</v>
      </c>
      <c r="E30" s="196">
        <f>SUM(E19,E27,E29)</f>
        <v>222348</v>
      </c>
      <c r="H30" s="158" t="s">
        <v>115</v>
      </c>
      <c r="I30" s="159"/>
      <c r="J30" s="160">
        <f>SUM(J19,J27)</f>
        <v>718129</v>
      </c>
      <c r="K30" s="161">
        <f>K19+K27</f>
        <v>626031</v>
      </c>
      <c r="L30" s="162">
        <f>SUM(L19,L27)</f>
        <v>602981</v>
      </c>
    </row>
    <row r="31" spans="1:12" x14ac:dyDescent="0.3">
      <c r="A31" s="197" t="s">
        <v>140</v>
      </c>
      <c r="B31" s="197"/>
      <c r="C31" s="198">
        <f>SUM(C9,C30)</f>
        <v>714513</v>
      </c>
      <c r="D31" s="199">
        <f>SUM(D9,D30)</f>
        <v>693982</v>
      </c>
      <c r="E31" s="200">
        <f>SUM(E9,E30)</f>
        <v>645498</v>
      </c>
      <c r="H31" s="163" t="s">
        <v>140</v>
      </c>
      <c r="I31" s="164"/>
      <c r="J31" s="165">
        <f>SUM(J9,J30)</f>
        <v>1829239</v>
      </c>
      <c r="K31" s="166">
        <f>SUM(K9,K30)</f>
        <v>1666119</v>
      </c>
      <c r="L31" s="167">
        <f>SUM(L9,L30)</f>
        <v>1494031</v>
      </c>
    </row>
    <row r="32" spans="1:12" ht="15" thickTop="1" x14ac:dyDescent="0.3"/>
    <row r="33" spans="1:13" x14ac:dyDescent="0.3">
      <c r="A33" s="248" t="s">
        <v>141</v>
      </c>
      <c r="B33" s="236" t="s">
        <v>142</v>
      </c>
      <c r="C33" s="237"/>
      <c r="H33" s="243" t="s">
        <v>141</v>
      </c>
      <c r="I33" s="238" t="s">
        <v>142</v>
      </c>
      <c r="J33" s="239"/>
      <c r="K33" s="125"/>
      <c r="L33" s="125"/>
      <c r="M33" s="98"/>
    </row>
    <row r="34" spans="1:13" x14ac:dyDescent="0.3">
      <c r="A34" s="249"/>
      <c r="B34" s="202" t="s">
        <v>143</v>
      </c>
      <c r="C34" s="203" t="s">
        <v>80</v>
      </c>
      <c r="H34" s="244"/>
      <c r="I34" s="168" t="s">
        <v>143</v>
      </c>
      <c r="J34" s="169" t="s">
        <v>80</v>
      </c>
      <c r="K34" s="126"/>
      <c r="L34" s="126"/>
      <c r="M34" s="98"/>
    </row>
    <row r="35" spans="1:13" x14ac:dyDescent="0.3">
      <c r="A35" s="170">
        <v>2022</v>
      </c>
      <c r="B35" s="171">
        <f>(E9/E31)*100</f>
        <v>65.554037347908121</v>
      </c>
      <c r="C35" s="172">
        <f>(E30/E31)*100</f>
        <v>34.445962652091872</v>
      </c>
      <c r="H35" s="170">
        <v>2022</v>
      </c>
      <c r="I35" s="171">
        <f>(L9/L31)*100</f>
        <v>59.640663413275895</v>
      </c>
      <c r="J35" s="172">
        <f>(L30/L31)*100</f>
        <v>40.359336586724105</v>
      </c>
      <c r="K35" s="126"/>
      <c r="L35" s="126"/>
      <c r="M35" s="98"/>
    </row>
    <row r="36" spans="1:13" x14ac:dyDescent="0.3">
      <c r="A36" s="170">
        <v>2023</v>
      </c>
      <c r="B36" s="171">
        <f>(D9/D31)*100</f>
        <v>65.650694110221878</v>
      </c>
      <c r="C36" s="172">
        <f>(D30/D31)*100</f>
        <v>34.349305889778122</v>
      </c>
      <c r="H36" s="170">
        <v>2023</v>
      </c>
      <c r="I36" s="171">
        <f>(K9/K31)*100</f>
        <v>62.425793115617786</v>
      </c>
      <c r="J36" s="172">
        <f>(K30/K31)*100</f>
        <v>37.574206884382207</v>
      </c>
    </row>
    <row r="37" spans="1:13" x14ac:dyDescent="0.3">
      <c r="A37" s="170">
        <v>2024</v>
      </c>
      <c r="B37" s="171">
        <f xml:space="preserve"> (C9/C31)*100</f>
        <v>67.639077245620442</v>
      </c>
      <c r="C37" s="172">
        <f>(C30/C31)*100</f>
        <v>32.360922754379558</v>
      </c>
      <c r="H37" s="170">
        <v>2024</v>
      </c>
      <c r="I37" s="171">
        <f xml:space="preserve"> (J9/J31)*100</f>
        <v>60.741652676331526</v>
      </c>
      <c r="J37" s="172">
        <f>(J30/J31)*100</f>
        <v>39.258347323668474</v>
      </c>
    </row>
  </sheetData>
  <mergeCells count="6">
    <mergeCell ref="B33:C33"/>
    <mergeCell ref="I33:J33"/>
    <mergeCell ref="H2:L2"/>
    <mergeCell ref="H33:H34"/>
    <mergeCell ref="A2:E2"/>
    <mergeCell ref="A33:A34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26587-0392-483C-8902-20862A85F107}">
  <dimension ref="A2:L40"/>
  <sheetViews>
    <sheetView tabSelected="1" workbookViewId="0">
      <selection activeCell="N15" sqref="N15"/>
    </sheetView>
  </sheetViews>
  <sheetFormatPr defaultRowHeight="14.4" x14ac:dyDescent="0.3"/>
  <cols>
    <col min="2" max="2" width="12.44140625" customWidth="1"/>
    <col min="3" max="3" width="18.44140625" customWidth="1"/>
    <col min="4" max="4" width="18.88671875" customWidth="1"/>
    <col min="5" max="5" width="17.33203125" style="96" customWidth="1"/>
    <col min="6" max="6" width="17" customWidth="1"/>
    <col min="7" max="7" width="11" customWidth="1"/>
    <col min="8" max="8" width="11.5546875" customWidth="1"/>
    <col min="9" max="9" width="16.6640625" customWidth="1"/>
    <col min="10" max="10" width="16" customWidth="1"/>
    <col min="11" max="11" width="14.109375" customWidth="1"/>
    <col min="14" max="14" width="27.5546875" customWidth="1"/>
    <col min="15" max="15" width="18.109375" customWidth="1"/>
    <col min="16" max="16" width="27.6640625" customWidth="1"/>
    <col min="16384" max="16384" width="9.109375" bestFit="1" customWidth="1"/>
  </cols>
  <sheetData>
    <row r="2" spans="1:12" x14ac:dyDescent="0.3">
      <c r="A2" s="250" t="s">
        <v>144</v>
      </c>
      <c r="B2" s="250"/>
      <c r="C2" s="250"/>
      <c r="D2" s="250"/>
      <c r="E2" s="250"/>
    </row>
    <row r="3" spans="1:12" s="106" customFormat="1" ht="28.8" x14ac:dyDescent="0.3">
      <c r="A3" s="111" t="s">
        <v>145</v>
      </c>
      <c r="B3" s="111" t="s">
        <v>146</v>
      </c>
      <c r="C3" s="111" t="s">
        <v>147</v>
      </c>
      <c r="D3" s="111" t="s">
        <v>148</v>
      </c>
      <c r="E3" s="111" t="s">
        <v>149</v>
      </c>
      <c r="F3" s="107"/>
      <c r="G3" s="253" t="s">
        <v>150</v>
      </c>
      <c r="H3" s="254"/>
      <c r="I3" s="254"/>
      <c r="J3" s="254"/>
      <c r="K3" s="255"/>
      <c r="L3" s="107"/>
    </row>
    <row r="4" spans="1:12" s="96" customFormat="1" ht="28.8" x14ac:dyDescent="0.3">
      <c r="A4" s="112">
        <v>2022</v>
      </c>
      <c r="B4" s="112" t="s">
        <v>151</v>
      </c>
      <c r="C4" s="113">
        <v>1319097</v>
      </c>
      <c r="D4" s="113">
        <v>154103</v>
      </c>
      <c r="E4" s="112">
        <f t="shared" ref="E4:E9" si="0">(D4/C4)*100</f>
        <v>11.682461562720558</v>
      </c>
      <c r="G4" s="215" t="s">
        <v>145</v>
      </c>
      <c r="H4" s="216" t="s">
        <v>146</v>
      </c>
      <c r="I4" s="216" t="s">
        <v>149</v>
      </c>
      <c r="J4" s="121" t="s">
        <v>152</v>
      </c>
      <c r="K4" s="217" t="s">
        <v>153</v>
      </c>
      <c r="L4" s="95"/>
    </row>
    <row r="5" spans="1:12" s="96" customFormat="1" x14ac:dyDescent="0.3">
      <c r="A5" s="112">
        <v>2022</v>
      </c>
      <c r="B5" s="112" t="s">
        <v>154</v>
      </c>
      <c r="C5" s="113">
        <v>396257</v>
      </c>
      <c r="D5" s="113">
        <v>52561</v>
      </c>
      <c r="E5" s="112">
        <f t="shared" si="0"/>
        <v>13.264371354953983</v>
      </c>
      <c r="G5" s="256">
        <v>2022</v>
      </c>
      <c r="H5" s="218" t="s">
        <v>151</v>
      </c>
      <c r="I5" s="112">
        <v>11.68</v>
      </c>
      <c r="J5" s="122">
        <v>3.62</v>
      </c>
      <c r="K5" s="116">
        <v>0.68</v>
      </c>
      <c r="L5" s="95"/>
    </row>
    <row r="6" spans="1:12" s="96" customFormat="1" x14ac:dyDescent="0.3">
      <c r="A6" s="112">
        <v>2023</v>
      </c>
      <c r="B6" s="112" t="s">
        <v>151</v>
      </c>
      <c r="C6" s="113">
        <v>1822129</v>
      </c>
      <c r="D6" s="113">
        <v>222691</v>
      </c>
      <c r="E6" s="112">
        <f t="shared" si="0"/>
        <v>12.22147279363865</v>
      </c>
      <c r="G6" s="257"/>
      <c r="H6" s="219" t="s">
        <v>154</v>
      </c>
      <c r="I6" s="112">
        <v>13.26</v>
      </c>
      <c r="J6" s="122">
        <v>2.76</v>
      </c>
      <c r="K6" s="128">
        <v>0.5</v>
      </c>
      <c r="L6" s="95"/>
    </row>
    <row r="7" spans="1:12" s="96" customFormat="1" x14ac:dyDescent="0.3">
      <c r="A7" s="112">
        <v>2023</v>
      </c>
      <c r="B7" s="112" t="s">
        <v>154</v>
      </c>
      <c r="C7" s="113">
        <v>424148</v>
      </c>
      <c r="D7" s="113">
        <v>62595</v>
      </c>
      <c r="E7" s="112">
        <f t="shared" si="0"/>
        <v>14.757820383451058</v>
      </c>
      <c r="G7" s="258">
        <v>2023</v>
      </c>
      <c r="H7" s="218" t="s">
        <v>151</v>
      </c>
      <c r="I7" s="220">
        <v>12.22</v>
      </c>
      <c r="J7" s="122">
        <v>4.47</v>
      </c>
      <c r="K7" s="129">
        <v>0.6</v>
      </c>
      <c r="L7" s="95"/>
    </row>
    <row r="8" spans="1:12" s="96" customFormat="1" x14ac:dyDescent="0.3">
      <c r="A8" s="112">
        <v>2024</v>
      </c>
      <c r="B8" s="112" t="s">
        <v>151</v>
      </c>
      <c r="C8" s="113">
        <v>413665</v>
      </c>
      <c r="D8" s="113">
        <v>146595</v>
      </c>
      <c r="E8" s="112">
        <f t="shared" si="0"/>
        <v>35.438096043900259</v>
      </c>
      <c r="G8" s="259"/>
      <c r="H8" s="221" t="s">
        <v>154</v>
      </c>
      <c r="I8" s="112">
        <v>14.76</v>
      </c>
      <c r="J8" s="127">
        <v>2.8</v>
      </c>
      <c r="K8" s="116">
        <v>0.52</v>
      </c>
    </row>
    <row r="9" spans="1:12" s="96" customFormat="1" x14ac:dyDescent="0.3">
      <c r="A9" s="112">
        <v>2024</v>
      </c>
      <c r="B9" s="112" t="s">
        <v>154</v>
      </c>
      <c r="C9" s="113">
        <v>413665</v>
      </c>
      <c r="D9" s="113">
        <v>39924</v>
      </c>
      <c r="E9" s="112">
        <f t="shared" si="0"/>
        <v>9.6512878778721909</v>
      </c>
      <c r="G9" s="257">
        <v>2024</v>
      </c>
      <c r="H9" s="219" t="s">
        <v>151</v>
      </c>
      <c r="I9" s="112">
        <v>35.44</v>
      </c>
      <c r="J9" s="122">
        <v>4.2699999999999996</v>
      </c>
      <c r="K9" s="116">
        <v>0.65</v>
      </c>
    </row>
    <row r="10" spans="1:12" x14ac:dyDescent="0.3">
      <c r="G10" s="260"/>
      <c r="H10" s="222" t="s">
        <v>154</v>
      </c>
      <c r="I10" s="112">
        <v>9.65</v>
      </c>
      <c r="J10" s="122">
        <v>3.11</v>
      </c>
      <c r="K10" s="116">
        <v>0.48</v>
      </c>
    </row>
    <row r="11" spans="1:12" x14ac:dyDescent="0.3">
      <c r="A11" s="251" t="s">
        <v>155</v>
      </c>
      <c r="B11" s="251"/>
      <c r="C11" s="251"/>
      <c r="D11" s="251"/>
      <c r="E11" s="251"/>
      <c r="H11" s="4"/>
    </row>
    <row r="12" spans="1:12" s="33" customFormat="1" ht="28.8" x14ac:dyDescent="0.3">
      <c r="A12" s="111" t="s">
        <v>145</v>
      </c>
      <c r="B12" s="111" t="s">
        <v>146</v>
      </c>
      <c r="C12" s="114" t="s">
        <v>156</v>
      </c>
      <c r="D12" s="114" t="s">
        <v>157</v>
      </c>
      <c r="E12" s="114" t="s">
        <v>152</v>
      </c>
    </row>
    <row r="13" spans="1:12" x14ac:dyDescent="0.3">
      <c r="A13" s="112">
        <v>2022</v>
      </c>
      <c r="B13" s="112" t="s">
        <v>151</v>
      </c>
      <c r="C13" s="115">
        <v>1003926</v>
      </c>
      <c r="D13" s="115">
        <v>277062</v>
      </c>
      <c r="E13" s="116">
        <f t="shared" ref="E13:E18" si="1">C13/D13</f>
        <v>3.6234705589362668</v>
      </c>
      <c r="H13" s="4"/>
    </row>
    <row r="14" spans="1:12" x14ac:dyDescent="0.3">
      <c r="A14" s="112">
        <v>2022</v>
      </c>
      <c r="B14" s="112" t="s">
        <v>154</v>
      </c>
      <c r="C14" s="115">
        <v>248416</v>
      </c>
      <c r="D14" s="115">
        <v>89874</v>
      </c>
      <c r="E14" s="116">
        <f t="shared" si="1"/>
        <v>2.7640474441996572</v>
      </c>
    </row>
    <row r="15" spans="1:12" x14ac:dyDescent="0.3">
      <c r="A15" s="112">
        <v>2023</v>
      </c>
      <c r="B15" s="112" t="s">
        <v>151</v>
      </c>
      <c r="C15" s="115">
        <v>1104499</v>
      </c>
      <c r="D15" s="115">
        <v>246983</v>
      </c>
      <c r="E15" s="116">
        <f t="shared" si="1"/>
        <v>4.4719636574177173</v>
      </c>
    </row>
    <row r="16" spans="1:12" x14ac:dyDescent="0.3">
      <c r="A16" s="112">
        <v>2023</v>
      </c>
      <c r="B16" s="112" t="s">
        <v>154</v>
      </c>
      <c r="C16" s="115">
        <v>294189</v>
      </c>
      <c r="D16" s="115">
        <v>105088</v>
      </c>
      <c r="E16" s="116">
        <f t="shared" si="1"/>
        <v>2.7994537911084043</v>
      </c>
    </row>
    <row r="17" spans="1:5" x14ac:dyDescent="0.3">
      <c r="A17" s="112">
        <v>2024</v>
      </c>
      <c r="B17" s="112" t="s">
        <v>151</v>
      </c>
      <c r="C17" s="115">
        <v>1152753</v>
      </c>
      <c r="D17" s="115">
        <v>269768</v>
      </c>
      <c r="E17" s="116">
        <f t="shared" si="1"/>
        <v>4.2731272797366628</v>
      </c>
    </row>
    <row r="18" spans="1:5" x14ac:dyDescent="0.3">
      <c r="A18" s="223">
        <v>2024</v>
      </c>
      <c r="B18" s="223" t="s">
        <v>154</v>
      </c>
      <c r="C18" s="117">
        <v>294204</v>
      </c>
      <c r="D18" s="117">
        <v>94596</v>
      </c>
      <c r="E18" s="118">
        <f t="shared" si="1"/>
        <v>3.1101103640745911</v>
      </c>
    </row>
    <row r="19" spans="1:5" x14ac:dyDescent="0.3">
      <c r="A19" s="119"/>
      <c r="B19" s="119"/>
      <c r="C19" s="119"/>
      <c r="D19" s="119"/>
      <c r="E19" s="120"/>
    </row>
    <row r="20" spans="1:5" x14ac:dyDescent="0.3">
      <c r="A20" s="252" t="s">
        <v>158</v>
      </c>
      <c r="B20" s="252"/>
      <c r="C20" s="252"/>
      <c r="D20" s="252"/>
      <c r="E20" s="252"/>
    </row>
    <row r="21" spans="1:5" s="33" customFormat="1" ht="28.8" x14ac:dyDescent="0.3">
      <c r="A21" s="111" t="s">
        <v>145</v>
      </c>
      <c r="B21" s="111" t="s">
        <v>146</v>
      </c>
      <c r="C21" s="111" t="s">
        <v>159</v>
      </c>
      <c r="D21" s="111" t="s">
        <v>160</v>
      </c>
      <c r="E21" s="111" t="s">
        <v>153</v>
      </c>
    </row>
    <row r="22" spans="1:5" x14ac:dyDescent="0.3">
      <c r="A22" s="112">
        <v>2022</v>
      </c>
      <c r="B22" s="112" t="s">
        <v>151</v>
      </c>
      <c r="C22" s="113">
        <v>602981</v>
      </c>
      <c r="D22" s="115">
        <v>891050</v>
      </c>
      <c r="E22" s="116">
        <f t="shared" ref="E22:E27" si="2">C22/D22</f>
        <v>0.67670837775657933</v>
      </c>
    </row>
    <row r="23" spans="1:5" x14ac:dyDescent="0.3">
      <c r="A23" s="112">
        <v>2022</v>
      </c>
      <c r="B23" s="112" t="s">
        <v>154</v>
      </c>
      <c r="C23" s="113">
        <v>214286</v>
      </c>
      <c r="D23" s="113">
        <v>431212</v>
      </c>
      <c r="E23" s="116">
        <f t="shared" si="2"/>
        <v>0.49693886069960946</v>
      </c>
    </row>
    <row r="24" spans="1:5" x14ac:dyDescent="0.3">
      <c r="A24" s="112">
        <v>2023</v>
      </c>
      <c r="B24" s="112" t="s">
        <v>151</v>
      </c>
      <c r="C24" s="113">
        <v>626031</v>
      </c>
      <c r="D24" s="115">
        <v>1040088</v>
      </c>
      <c r="E24" s="116">
        <f t="shared" si="2"/>
        <v>0.60190195445000805</v>
      </c>
    </row>
    <row r="25" spans="1:5" x14ac:dyDescent="0.3">
      <c r="A25" s="112">
        <v>2023</v>
      </c>
      <c r="B25" s="112" t="s">
        <v>154</v>
      </c>
      <c r="C25" s="113">
        <v>238378</v>
      </c>
      <c r="D25" s="115">
        <v>455604</v>
      </c>
      <c r="E25" s="116">
        <f t="shared" si="2"/>
        <v>0.52321314123668805</v>
      </c>
    </row>
    <row r="26" spans="1:5" x14ac:dyDescent="0.3">
      <c r="A26" s="112">
        <v>2024</v>
      </c>
      <c r="B26" s="112" t="s">
        <v>151</v>
      </c>
      <c r="C26" s="113">
        <v>718129</v>
      </c>
      <c r="D26" s="115">
        <v>1111110</v>
      </c>
      <c r="E26" s="116">
        <f t="shared" si="2"/>
        <v>0.64631674631674629</v>
      </c>
    </row>
    <row r="27" spans="1:5" x14ac:dyDescent="0.3">
      <c r="A27" s="112">
        <v>2024</v>
      </c>
      <c r="B27" s="112" t="s">
        <v>154</v>
      </c>
      <c r="C27" s="113">
        <v>231223</v>
      </c>
      <c r="D27" s="115">
        <v>483290</v>
      </c>
      <c r="E27" s="116">
        <f t="shared" si="2"/>
        <v>0.47843530799313044</v>
      </c>
    </row>
    <row r="30" spans="1:5" x14ac:dyDescent="0.3">
      <c r="E30" s="224"/>
    </row>
    <row r="31" spans="1:5" x14ac:dyDescent="0.3">
      <c r="E31" s="224"/>
    </row>
    <row r="32" spans="1:5" x14ac:dyDescent="0.3">
      <c r="E32" s="224"/>
    </row>
    <row r="33" spans="5:5" ht="18.75" customHeight="1" x14ac:dyDescent="0.3">
      <c r="E33" s="224"/>
    </row>
    <row r="34" spans="5:5" ht="18.75" customHeight="1" x14ac:dyDescent="0.3">
      <c r="E34" s="224"/>
    </row>
    <row r="35" spans="5:5" ht="18.75" customHeight="1" x14ac:dyDescent="0.3">
      <c r="E35" s="224"/>
    </row>
    <row r="36" spans="5:5" ht="18.75" customHeight="1" x14ac:dyDescent="0.3"/>
    <row r="37" spans="5:5" ht="18.75" customHeight="1" x14ac:dyDescent="0.3"/>
    <row r="38" spans="5:5" ht="18.75" customHeight="1" x14ac:dyDescent="0.3"/>
    <row r="39" spans="5:5" ht="18.75" customHeight="1" x14ac:dyDescent="0.3"/>
    <row r="40" spans="5:5" ht="18.75" customHeight="1" x14ac:dyDescent="0.3"/>
  </sheetData>
  <mergeCells count="7">
    <mergeCell ref="A2:E2"/>
    <mergeCell ref="A11:E11"/>
    <mergeCell ref="A20:E20"/>
    <mergeCell ref="G3:K3"/>
    <mergeCell ref="G5:G6"/>
    <mergeCell ref="G7:G8"/>
    <mergeCell ref="G9:G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Group Members</vt:lpstr>
      <vt:lpstr>Q1. BONIA Net Profit</vt:lpstr>
      <vt:lpstr>Q1. PADINI Net Profit</vt:lpstr>
      <vt:lpstr>Q2. BONIA Assets</vt:lpstr>
      <vt:lpstr>Q2. PADINI Assets</vt:lpstr>
      <vt:lpstr>Q3. BONIA Liabilities</vt:lpstr>
      <vt:lpstr>Q3. PADINI Liabilities</vt:lpstr>
      <vt:lpstr>Q4. Financing Type</vt:lpstr>
      <vt:lpstr>Q5. Compare &amp; Contrast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anis wajihah</dc:creator>
  <cp:keywords/>
  <dc:description/>
  <cp:lastModifiedBy>ANIS WAJIHAH BINTI ABDUL WAKIL</cp:lastModifiedBy>
  <cp:revision/>
  <dcterms:created xsi:type="dcterms:W3CDTF">2025-05-05T17:26:17Z</dcterms:created>
  <dcterms:modified xsi:type="dcterms:W3CDTF">2026-01-31T12:13:39Z</dcterms:modified>
  <cp:category/>
  <cp:contentStatus/>
</cp:coreProperties>
</file>